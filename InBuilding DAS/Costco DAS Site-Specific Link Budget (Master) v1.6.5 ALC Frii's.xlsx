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rjun K C\Downloads\Arjun Folder\MyDrive_ARjun\RF\2025\December\Costco-Winnipeg\Updated MOP\"/>
    </mc:Choice>
  </mc:AlternateContent>
  <xr:revisionPtr revIDLastSave="0" documentId="13_ncr:1_{D20ED584-677B-4743-B138-AB7DE1EA68AB}" xr6:coauthVersionLast="47" xr6:coauthVersionMax="47" xr10:uidLastSave="{00000000-0000-0000-0000-000000000000}"/>
  <bookViews>
    <workbookView xWindow="-108" yWindow="-108" windowWidth="23256" windowHeight="12456" tabRatio="770" activeTab="1" xr2:uid="{3511BC6A-026B-4424-A966-B0B02B6766D9}"/>
  </bookViews>
  <sheets>
    <sheet name="Instructions" sheetId="2" r:id="rId1"/>
    <sheet name="EXPECTATIONS" sheetId="6" r:id="rId2"/>
    <sheet name="COMMISSIONING" sheetId="5" r:id="rId3"/>
    <sheet name="Bellus 1900" sheetId="1" r:id="rId4"/>
    <sheet name="Bellus 2100" sheetId="8" r:id="rId5"/>
    <sheet name="Bellus 2600" sheetId="9" r:id="rId6"/>
    <sheet name="Rogers 1900" sheetId="10" r:id="rId7"/>
    <sheet name="Rogers 2100" sheetId="11" r:id="rId8"/>
    <sheet name="Rogers 2600" sheetId="12" r:id="rId9"/>
    <sheet name="Revisions" sheetId="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 r="E30" i="5"/>
  <c r="D30" i="5"/>
  <c r="D29" i="5"/>
  <c r="E29" i="5" s="1"/>
  <c r="C18" i="1"/>
  <c r="K51" i="1"/>
  <c r="K56" i="1" s="1"/>
  <c r="K47" i="1"/>
  <c r="K49" i="1" s="1"/>
  <c r="K54" i="1" s="1"/>
  <c r="K57" i="1"/>
  <c r="G35" i="1"/>
  <c r="C21" i="1"/>
  <c r="D20" i="5"/>
  <c r="E20" i="5" s="1"/>
  <c r="D19" i="5"/>
  <c r="E19" i="5" s="1"/>
  <c r="D18" i="5"/>
  <c r="E18" i="5" s="1"/>
  <c r="D26" i="5" l="1"/>
  <c r="E26" i="5" s="1"/>
  <c r="E46" i="5"/>
  <c r="D46" i="5"/>
  <c r="F18" i="6" l="1"/>
  <c r="F17" i="6"/>
  <c r="F16" i="6"/>
  <c r="F15" i="6"/>
  <c r="F14" i="6"/>
  <c r="F13" i="6"/>
  <c r="K27" i="10"/>
  <c r="K26" i="10" s="1"/>
  <c r="G35" i="12"/>
  <c r="G35" i="11"/>
  <c r="G35" i="10"/>
  <c r="C87" i="5"/>
  <c r="D87" i="5" s="1"/>
  <c r="E87" i="5" s="1"/>
  <c r="C86" i="5"/>
  <c r="D86" i="5" s="1"/>
  <c r="E86" i="5" s="1"/>
  <c r="C85" i="5"/>
  <c r="E85" i="5" s="1"/>
  <c r="K36" i="12" s="1"/>
  <c r="C84" i="5"/>
  <c r="E84" i="5" s="1"/>
  <c r="E82" i="5"/>
  <c r="D82" i="5"/>
  <c r="C82" i="5"/>
  <c r="E44" i="5"/>
  <c r="E80" i="5" s="1"/>
  <c r="E83" i="5" s="1"/>
  <c r="D44" i="5"/>
  <c r="D80" i="5" s="1"/>
  <c r="D83" i="5" s="1"/>
  <c r="C44" i="5"/>
  <c r="C80" i="5" s="1"/>
  <c r="C83" i="5" s="1"/>
  <c r="C26" i="12"/>
  <c r="G21" i="12" s="1"/>
  <c r="K21" i="12" s="1"/>
  <c r="C26" i="11"/>
  <c r="G21" i="11" s="1"/>
  <c r="K21" i="11" s="1"/>
  <c r="C26" i="10"/>
  <c r="G21" i="10" s="1"/>
  <c r="K21" i="10" s="1"/>
  <c r="C26" i="9"/>
  <c r="C26" i="8"/>
  <c r="C26" i="1"/>
  <c r="C22" i="1"/>
  <c r="C16" i="1" s="1"/>
  <c r="C22" i="10"/>
  <c r="C16" i="10" s="1"/>
  <c r="C18" i="12"/>
  <c r="G14" i="12" s="1"/>
  <c r="K14" i="12" s="1"/>
  <c r="C18" i="11"/>
  <c r="G14" i="11" s="1"/>
  <c r="K14" i="11" s="1"/>
  <c r="C18" i="10"/>
  <c r="G14" i="10" s="1"/>
  <c r="K14" i="10" s="1"/>
  <c r="C5" i="12"/>
  <c r="C5" i="11"/>
  <c r="C5" i="10"/>
  <c r="C59" i="5"/>
  <c r="C10" i="10" s="1"/>
  <c r="C76" i="5"/>
  <c r="C6" i="12"/>
  <c r="C6" i="11"/>
  <c r="K29" i="11" s="1"/>
  <c r="C6" i="10"/>
  <c r="K29" i="10" s="1"/>
  <c r="E59" i="5"/>
  <c r="C10" i="12" s="1"/>
  <c r="D59" i="5"/>
  <c r="C10" i="11" s="1"/>
  <c r="D66" i="5"/>
  <c r="E66" i="5" s="1"/>
  <c r="C22" i="12" s="1"/>
  <c r="C16" i="12" s="1"/>
  <c r="C27" i="12"/>
  <c r="G22" i="12" s="1"/>
  <c r="K22" i="12" s="1"/>
  <c r="C8" i="12"/>
  <c r="K29" i="12"/>
  <c r="C27" i="11"/>
  <c r="G22" i="11" s="1"/>
  <c r="C8" i="11"/>
  <c r="G37" i="10"/>
  <c r="G36" i="10" s="1"/>
  <c r="G29" i="10"/>
  <c r="K28" i="10"/>
  <c r="C27" i="10"/>
  <c r="G22" i="10" s="1"/>
  <c r="K17" i="10"/>
  <c r="C8" i="10"/>
  <c r="H18" i="6"/>
  <c r="G18" i="6"/>
  <c r="L18" i="6" s="1"/>
  <c r="H17" i="6"/>
  <c r="G17" i="6"/>
  <c r="L17" i="6" s="1"/>
  <c r="H16" i="6"/>
  <c r="G16" i="6"/>
  <c r="H15" i="6"/>
  <c r="G15" i="6"/>
  <c r="H14" i="6"/>
  <c r="G14" i="6"/>
  <c r="H13" i="6"/>
  <c r="G13" i="6"/>
  <c r="M18" i="6"/>
  <c r="M17" i="6"/>
  <c r="M16" i="6"/>
  <c r="L16" i="6"/>
  <c r="M15" i="6"/>
  <c r="L15" i="6"/>
  <c r="M14" i="6"/>
  <c r="L14" i="6"/>
  <c r="M13" i="6"/>
  <c r="L13" i="6"/>
  <c r="K36" i="10" l="1"/>
  <c r="D85" i="5"/>
  <c r="K36" i="11" s="1"/>
  <c r="D84" i="5"/>
  <c r="C22" i="11"/>
  <c r="C16" i="11" s="1"/>
  <c r="C12" i="10"/>
  <c r="C13" i="10" s="1"/>
  <c r="C19" i="10" s="1"/>
  <c r="C23" i="10" s="1"/>
  <c r="G18" i="10" s="1"/>
  <c r="K35" i="12"/>
  <c r="C12" i="12"/>
  <c r="C13" i="12" s="1"/>
  <c r="K35" i="11"/>
  <c r="C12" i="11"/>
  <c r="C13" i="11" s="1"/>
  <c r="K22" i="11"/>
  <c r="K35" i="10"/>
  <c r="K37" i="10" s="1"/>
  <c r="K22" i="10"/>
  <c r="C27" i="9"/>
  <c r="G22" i="9" s="1"/>
  <c r="K22" i="9" s="1"/>
  <c r="C27" i="8"/>
  <c r="G22" i="8" s="1"/>
  <c r="C27" i="1"/>
  <c r="K36" i="1"/>
  <c r="G35" i="9"/>
  <c r="C18" i="9"/>
  <c r="G14" i="9" s="1"/>
  <c r="K14" i="9" s="1"/>
  <c r="C10" i="9"/>
  <c r="C6" i="9"/>
  <c r="K29" i="9" s="1"/>
  <c r="C5" i="9"/>
  <c r="G35" i="8"/>
  <c r="C18" i="8"/>
  <c r="G14" i="8" s="1"/>
  <c r="K14" i="8" s="1"/>
  <c r="C10" i="8"/>
  <c r="C6" i="8"/>
  <c r="K29" i="8" s="1"/>
  <c r="C5" i="8"/>
  <c r="G21" i="9"/>
  <c r="K21" i="9" s="1"/>
  <c r="C8" i="9"/>
  <c r="G21" i="8"/>
  <c r="K21" i="8" s="1"/>
  <c r="C8" i="8"/>
  <c r="C17" i="10" l="1"/>
  <c r="C62" i="5" s="1"/>
  <c r="C14" i="10"/>
  <c r="G12" i="10" s="1"/>
  <c r="K12" i="10" s="1"/>
  <c r="C19" i="12"/>
  <c r="C14" i="12"/>
  <c r="G12" i="12" s="1"/>
  <c r="C17" i="12"/>
  <c r="E62" i="5" s="1"/>
  <c r="C19" i="11"/>
  <c r="C14" i="11"/>
  <c r="G12" i="11" s="1"/>
  <c r="C17" i="11"/>
  <c r="D62" i="5" s="1"/>
  <c r="K18" i="10"/>
  <c r="C24" i="10"/>
  <c r="C28" i="10" s="1"/>
  <c r="C30" i="10" s="1"/>
  <c r="K35" i="9"/>
  <c r="C12" i="9"/>
  <c r="C13" i="9" s="1"/>
  <c r="K35" i="8"/>
  <c r="K22" i="8"/>
  <c r="C12" i="8"/>
  <c r="C13" i="8" s="1"/>
  <c r="D25" i="5"/>
  <c r="E48" i="5"/>
  <c r="D48" i="5"/>
  <c r="G29" i="8" l="1"/>
  <c r="G29" i="11"/>
  <c r="G29" i="9"/>
  <c r="G29" i="12"/>
  <c r="E25" i="5"/>
  <c r="C22" i="9" s="1"/>
  <c r="C16" i="9" s="1"/>
  <c r="C17" i="9" s="1"/>
  <c r="E14" i="5" s="1"/>
  <c r="C22" i="8"/>
  <c r="C16" i="8" s="1"/>
  <c r="C17" i="8" s="1"/>
  <c r="D14" i="5" s="1"/>
  <c r="K12" i="12"/>
  <c r="C23" i="12"/>
  <c r="G18" i="12" s="1"/>
  <c r="K12" i="11"/>
  <c r="C23" i="11"/>
  <c r="G18" i="11" s="1"/>
  <c r="C31" i="10"/>
  <c r="G38" i="10" s="1"/>
  <c r="G40" i="10" s="1"/>
  <c r="G25" i="10" s="1"/>
  <c r="C14" i="9"/>
  <c r="G12" i="9" s="1"/>
  <c r="C19" i="9"/>
  <c r="C19" i="8"/>
  <c r="C14" i="8"/>
  <c r="G12" i="8" s="1"/>
  <c r="E47" i="5"/>
  <c r="D47" i="5"/>
  <c r="D51" i="5"/>
  <c r="K17" i="11" s="1"/>
  <c r="D50" i="5"/>
  <c r="K28" i="11" s="1"/>
  <c r="C47" i="5"/>
  <c r="C33" i="10" s="1"/>
  <c r="G28" i="10" s="1"/>
  <c r="G27" i="10" s="1"/>
  <c r="C34" i="10" l="1"/>
  <c r="C35" i="10" s="1"/>
  <c r="C33" i="9"/>
  <c r="G28" i="9" s="1"/>
  <c r="G27" i="9" s="1"/>
  <c r="C33" i="12"/>
  <c r="G28" i="12" s="1"/>
  <c r="G27" i="12" s="1"/>
  <c r="C33" i="8"/>
  <c r="G28" i="8" s="1"/>
  <c r="G27" i="8" s="1"/>
  <c r="C33" i="11"/>
  <c r="G28" i="11" s="1"/>
  <c r="G27" i="11" s="1"/>
  <c r="K18" i="12"/>
  <c r="C24" i="12"/>
  <c r="C28" i="12" s="1"/>
  <c r="C30" i="12" s="1"/>
  <c r="C24" i="11"/>
  <c r="C28" i="11" s="1"/>
  <c r="C30" i="11" s="1"/>
  <c r="K18" i="11"/>
  <c r="K25" i="10"/>
  <c r="K23" i="10" s="1"/>
  <c r="G23" i="10"/>
  <c r="G19" i="10" s="1"/>
  <c r="G15" i="10" s="1"/>
  <c r="G9" i="10" s="1"/>
  <c r="G8" i="10" s="1"/>
  <c r="E50" i="5"/>
  <c r="K28" i="8"/>
  <c r="E51" i="5"/>
  <c r="K17" i="8"/>
  <c r="C23" i="9"/>
  <c r="G18" i="9" s="1"/>
  <c r="K12" i="9"/>
  <c r="K12" i="8"/>
  <c r="C23" i="8"/>
  <c r="G18" i="8" s="1"/>
  <c r="E49" i="5"/>
  <c r="D49" i="5"/>
  <c r="G14" i="1"/>
  <c r="G29" i="1"/>
  <c r="G37" i="1"/>
  <c r="E41" i="5"/>
  <c r="D41" i="5"/>
  <c r="C33" i="1"/>
  <c r="K27" i="11" l="1"/>
  <c r="K26" i="11" s="1"/>
  <c r="K27" i="8"/>
  <c r="K26" i="8" s="1"/>
  <c r="K27" i="12"/>
  <c r="K26" i="12" s="1"/>
  <c r="K27" i="9"/>
  <c r="K26" i="9" s="1"/>
  <c r="K28" i="9"/>
  <c r="K28" i="12"/>
  <c r="G37" i="8"/>
  <c r="G36" i="8" s="1"/>
  <c r="G37" i="11"/>
  <c r="G36" i="11" s="1"/>
  <c r="G37" i="9"/>
  <c r="G36" i="9" s="1"/>
  <c r="G37" i="12"/>
  <c r="G36" i="12" s="1"/>
  <c r="K36" i="8"/>
  <c r="K37" i="8" s="1"/>
  <c r="K37" i="11"/>
  <c r="K36" i="9"/>
  <c r="K37" i="9" s="1"/>
  <c r="K37" i="12"/>
  <c r="K17" i="9"/>
  <c r="K17" i="12"/>
  <c r="K19" i="10"/>
  <c r="K15" i="10" s="1"/>
  <c r="K7" i="10" s="1"/>
  <c r="K39" i="10" s="1"/>
  <c r="K40" i="10" s="1"/>
  <c r="K42" i="10" s="1"/>
  <c r="K5" i="10" s="1"/>
  <c r="C73" i="5"/>
  <c r="C34" i="12"/>
  <c r="C35" i="12" s="1"/>
  <c r="C31" i="12"/>
  <c r="G38" i="12" s="1"/>
  <c r="C34" i="11"/>
  <c r="C35" i="11" s="1"/>
  <c r="C31" i="11"/>
  <c r="G38" i="11" s="1"/>
  <c r="C24" i="9"/>
  <c r="C28" i="9" s="1"/>
  <c r="C30" i="9" s="1"/>
  <c r="K18" i="9"/>
  <c r="C24" i="8"/>
  <c r="C28" i="8" s="1"/>
  <c r="C30" i="8" s="1"/>
  <c r="K18" i="8"/>
  <c r="C6" i="1"/>
  <c r="C5" i="1"/>
  <c r="C8" i="1"/>
  <c r="G40" i="12" l="1"/>
  <c r="G25" i="12" s="1"/>
  <c r="G6" i="10"/>
  <c r="C69" i="5" s="1"/>
  <c r="G40" i="11"/>
  <c r="G25" i="11" s="1"/>
  <c r="K25" i="11" s="1"/>
  <c r="K23" i="11" s="1"/>
  <c r="G23" i="12"/>
  <c r="G19" i="12" s="1"/>
  <c r="G15" i="12" s="1"/>
  <c r="G9" i="12" s="1"/>
  <c r="G8" i="12" s="1"/>
  <c r="K25" i="12"/>
  <c r="K23" i="12" s="1"/>
  <c r="C31" i="9"/>
  <c r="G38" i="9" s="1"/>
  <c r="G40" i="9" s="1"/>
  <c r="G25" i="9" s="1"/>
  <c r="C34" i="9"/>
  <c r="C35" i="9" s="1"/>
  <c r="C34" i="8"/>
  <c r="C35" i="8" s="1"/>
  <c r="C31" i="8"/>
  <c r="G38" i="8" s="1"/>
  <c r="G40" i="8" s="1"/>
  <c r="G25" i="8" s="1"/>
  <c r="G21" i="1"/>
  <c r="K21" i="1" s="1"/>
  <c r="G22" i="1"/>
  <c r="K22" i="1" s="1"/>
  <c r="K29" i="1"/>
  <c r="K35" i="1" s="1"/>
  <c r="K37" i="1" s="1"/>
  <c r="G36" i="1"/>
  <c r="C12" i="1"/>
  <c r="C13" i="1" s="1"/>
  <c r="C19" i="1" l="1"/>
  <c r="C23" i="1" s="1"/>
  <c r="C21" i="5" s="1"/>
  <c r="G23" i="11"/>
  <c r="G19" i="11" s="1"/>
  <c r="G15" i="11" s="1"/>
  <c r="G9" i="11" s="1"/>
  <c r="G8" i="11" s="1"/>
  <c r="K19" i="12"/>
  <c r="K15" i="12" s="1"/>
  <c r="K7" i="12" s="1"/>
  <c r="K39" i="12" s="1"/>
  <c r="K40" i="12" s="1"/>
  <c r="K42" i="12" s="1"/>
  <c r="K5" i="12" s="1"/>
  <c r="E73" i="5"/>
  <c r="K19" i="11"/>
  <c r="K15" i="11" s="1"/>
  <c r="K7" i="11" s="1"/>
  <c r="K39" i="11" s="1"/>
  <c r="G6" i="11" s="1"/>
  <c r="D69" i="5" s="1"/>
  <c r="D73" i="5"/>
  <c r="G23" i="9"/>
  <c r="G19" i="9" s="1"/>
  <c r="G15" i="9" s="1"/>
  <c r="G9" i="9" s="1"/>
  <c r="G8" i="9" s="1"/>
  <c r="K25" i="9"/>
  <c r="K23" i="9" s="1"/>
  <c r="G23" i="8"/>
  <c r="G19" i="8" s="1"/>
  <c r="G15" i="8" s="1"/>
  <c r="G9" i="8" s="1"/>
  <c r="G8" i="8" s="1"/>
  <c r="K25" i="8"/>
  <c r="K23" i="8" s="1"/>
  <c r="C22" i="5" l="1"/>
  <c r="C24" i="5" s="1"/>
  <c r="G18" i="1" s="1"/>
  <c r="K18" i="1" s="1"/>
  <c r="C23" i="5"/>
  <c r="G6" i="12"/>
  <c r="E69" i="5" s="1"/>
  <c r="K40" i="11"/>
  <c r="K42" i="11" s="1"/>
  <c r="K5" i="11" s="1"/>
  <c r="K19" i="9"/>
  <c r="K15" i="9" s="1"/>
  <c r="K7" i="9" s="1"/>
  <c r="K39" i="9" s="1"/>
  <c r="K40" i="9" s="1"/>
  <c r="K42" i="9" s="1"/>
  <c r="K5" i="9" s="1"/>
  <c r="E35" i="5"/>
  <c r="K19" i="8"/>
  <c r="K15" i="8" s="1"/>
  <c r="K7" i="8" s="1"/>
  <c r="K39" i="8" s="1"/>
  <c r="D35" i="5"/>
  <c r="C24" i="1"/>
  <c r="C28" i="1" s="1"/>
  <c r="C30" i="1" s="1"/>
  <c r="K14" i="1"/>
  <c r="G6" i="9" l="1"/>
  <c r="E31" i="5" s="1"/>
  <c r="G6" i="8"/>
  <c r="D31" i="5" s="1"/>
  <c r="K40" i="8"/>
  <c r="K42" i="8" s="1"/>
  <c r="K5" i="8" s="1"/>
  <c r="C31" i="1"/>
  <c r="G38" i="1" s="1"/>
  <c r="C14" i="1" l="1"/>
  <c r="G12" i="1" s="1"/>
  <c r="K12" i="1" l="1"/>
  <c r="G28" i="1"/>
  <c r="G27" i="1" s="1"/>
  <c r="C34" i="1" l="1"/>
  <c r="C35" i="1" s="1"/>
  <c r="G40" i="1"/>
  <c r="G25" i="1" l="1"/>
  <c r="K50" i="1"/>
  <c r="K55" i="1" s="1"/>
  <c r="K59" i="1" s="1"/>
  <c r="K60" i="1" s="1"/>
  <c r="K27" i="1" s="1"/>
  <c r="G23" i="1"/>
  <c r="G19" i="1" s="1"/>
  <c r="K25" i="1"/>
  <c r="C17" i="1" l="1"/>
  <c r="C14" i="5" s="1"/>
  <c r="G15" i="1"/>
  <c r="G9" i="1" s="1"/>
  <c r="G8" i="1" s="1"/>
  <c r="K23" i="1"/>
  <c r="C35" i="5" s="1"/>
  <c r="K19" i="1" l="1"/>
  <c r="K15" i="1" s="1"/>
  <c r="K7" i="1" s="1"/>
  <c r="K39" i="1" s="1"/>
  <c r="G6" i="1" s="1"/>
  <c r="C38" i="5" l="1"/>
  <c r="C31" i="5"/>
  <c r="K40" i="1"/>
  <c r="K42" i="1" s="1"/>
  <c r="K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D0730470-E229-420C-84C0-33B3164B447C}">
      <text>
        <r>
          <rPr>
            <sz val="9"/>
            <color indexed="81"/>
            <rFont val="Tahoma"/>
            <family val="2"/>
          </rPr>
          <t>See box below:
Calculation of DAS noise's impact on BTS noise floor</t>
        </r>
      </text>
    </comment>
    <comment ref="G6" authorId="0" shapeId="0" xr:uid="{BF244E40-E31E-4E11-BE3E-860887329927}">
      <text>
        <r>
          <rPr>
            <sz val="9"/>
            <color indexed="81"/>
            <rFont val="Tahoma"/>
            <family val="2"/>
          </rPr>
          <t>We want the DAS UL noise to hit the BTS radio at about 6dB below ithermal, to cause 1dB or less of noise floor rise at the BTS.</t>
        </r>
      </text>
    </comment>
    <comment ref="F15" authorId="0" shapeId="0" xr:uid="{BFF3D134-0BC2-4095-9115-BB6B558F5D24}">
      <text>
        <r>
          <rPr>
            <b/>
            <sz val="9"/>
            <color indexed="81"/>
            <rFont val="Tahoma"/>
            <family val="2"/>
          </rPr>
          <t>John Willson:</t>
        </r>
        <r>
          <rPr>
            <sz val="9"/>
            <color indexed="81"/>
            <rFont val="Tahoma"/>
            <family val="2"/>
          </rPr>
          <t xml:space="preserve">
Assuming max UL Tx power capability of RFD card is +27 dBm/port.  Haven't been able to verify this in equipment specs, yet.</t>
        </r>
      </text>
    </comment>
    <comment ref="C16" authorId="0" shapeId="0" xr:uid="{D0290A0B-B1A9-4E3F-A3C1-0F214CB788EC}">
      <text>
        <r>
          <rPr>
            <b/>
            <sz val="9"/>
            <color indexed="81"/>
            <rFont val="Tahoma"/>
            <family val="2"/>
          </rPr>
          <t>John Willson:</t>
        </r>
        <r>
          <rPr>
            <sz val="9"/>
            <color indexed="81"/>
            <rFont val="Tahoma"/>
            <family val="2"/>
          </rPr>
          <t xml:space="preserve">
2 dB of margin.</t>
        </r>
      </text>
    </comment>
    <comment ref="B17" authorId="0" shapeId="0" xr:uid="{5DE590FB-1E51-4B83-9672-2F6C4EE59471}">
      <text>
        <r>
          <rPr>
            <b/>
            <sz val="9"/>
            <color indexed="81"/>
            <rFont val="Tahoma"/>
            <family val="2"/>
          </rPr>
          <t>John Willson:</t>
        </r>
        <r>
          <rPr>
            <sz val="9"/>
            <color indexed="81"/>
            <rFont val="Tahoma"/>
            <family val="2"/>
          </rPr>
          <t xml:space="preserve">
= (SDR DL ALC set point)
  - (Max donor RSSI in donor cable)
  - (SDR Max UL Tx power, composite)
  + (UL composite ch. power fr. ERA to SDR)
This attenuation value achieves a workable DL RSSI, while meeting UL noise target, and maximizing UL signal power.
Note that recommended DL and UL gain values are adjusted to accommodate the physical attenuation value.</t>
        </r>
      </text>
    </comment>
    <comment ref="B30" authorId="0" shapeId="0" xr:uid="{F85251C9-9098-4D2D-A87F-CA75667BC16C}">
      <text>
        <r>
          <rPr>
            <b/>
            <sz val="9"/>
            <color indexed="81"/>
            <rFont val="Tahoma"/>
            <family val="2"/>
          </rPr>
          <t>John Willson:</t>
        </r>
        <r>
          <rPr>
            <sz val="9"/>
            <color indexed="81"/>
            <rFont val="Tahoma"/>
            <family val="2"/>
          </rPr>
          <t xml:space="preserve">
Assumes max DL Tx power capability of 27 dBm.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2D0C550E-B42C-46D3-A248-4952C4345E07}">
      <text>
        <r>
          <rPr>
            <sz val="9"/>
            <color indexed="81"/>
            <rFont val="Tahoma"/>
            <family val="2"/>
          </rPr>
          <t>See box below:
Calculation of DAS noise's impact on BTS noise floor</t>
        </r>
      </text>
    </comment>
    <comment ref="G6" authorId="0" shapeId="0" xr:uid="{AD7C4746-53A2-4DC9-B54B-DBA7EB61118F}">
      <text>
        <r>
          <rPr>
            <sz val="9"/>
            <color indexed="81"/>
            <rFont val="Tahoma"/>
            <family val="2"/>
          </rPr>
          <t>We want the DAS UL noise to hit the BTS radio at about 6dB below ithermal, to cause 1dB or less of noise floor rise at the BTS.</t>
        </r>
      </text>
    </comment>
    <comment ref="C16" authorId="0" shapeId="0" xr:uid="{31C924EC-55A9-4AC7-B345-85D66E8184C3}">
      <text>
        <r>
          <rPr>
            <sz val="9"/>
            <color indexed="81"/>
            <rFont val="Tahoma"/>
            <family val="2"/>
          </rPr>
          <t>2 dB wiggle room.</t>
        </r>
      </text>
    </comment>
    <comment ref="G18" authorId="0" shapeId="0" xr:uid="{9DF25680-7884-4EC1-8DFD-D30D8718874C}">
      <text>
        <r>
          <rPr>
            <sz val="9"/>
            <color indexed="81"/>
            <rFont val="Tahoma"/>
            <family val="2"/>
          </rPr>
          <t>In reality, with AGC on, this value varies independently of DL Gain.  So this is just an approximation, if AGC is on.</t>
        </r>
      </text>
    </comment>
    <comment ref="B23" authorId="0" shapeId="0" xr:uid="{15C66C87-C3AD-4638-9B0F-592A39F5A3A2}">
      <text>
        <r>
          <rPr>
            <sz val="9"/>
            <color indexed="81"/>
            <rFont val="Tahoma"/>
            <family val="2"/>
          </rPr>
          <t>ADR amplifier cards in Costco BOMs are the 23/24dBm variety. Their max gains are 90 dBm.</t>
        </r>
      </text>
    </comment>
    <comment ref="C33" authorId="0" shapeId="0" xr:uid="{1057F2E5-4A55-4502-B2C4-560743123C01}">
      <text>
        <r>
          <rPr>
            <sz val="9"/>
            <color indexed="81"/>
            <rFont val="Tahoma"/>
            <family val="2"/>
          </rPr>
          <t>Read this off iBwave design.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0936CB9B-340E-4C5F-8462-281F89D5D6C9}">
      <text>
        <r>
          <rPr>
            <sz val="9"/>
            <color indexed="81"/>
            <rFont val="Tahoma"/>
            <family val="2"/>
          </rPr>
          <t>See box below:
Calculation of DAS noise's impact on BTS noise floor</t>
        </r>
      </text>
    </comment>
    <comment ref="G6" authorId="0" shapeId="0" xr:uid="{BAE09049-16AD-4E4C-9A95-8B0ACE45AD15}">
      <text>
        <r>
          <rPr>
            <sz val="9"/>
            <color indexed="81"/>
            <rFont val="Tahoma"/>
            <family val="2"/>
          </rPr>
          <t>We want the DAS UL noise to hit the BTS radio at about 6dB below ithermal, to cause 1dB or less of noise floor rise at the BTS.</t>
        </r>
      </text>
    </comment>
    <comment ref="C16" authorId="0" shapeId="0" xr:uid="{E5FF84F6-99DA-43CE-B983-A2AC391C4C39}">
      <text>
        <r>
          <rPr>
            <sz val="9"/>
            <color indexed="81"/>
            <rFont val="Tahoma"/>
            <family val="2"/>
          </rPr>
          <t>2 dB wiggle room.</t>
        </r>
      </text>
    </comment>
    <comment ref="G18" authorId="0" shapeId="0" xr:uid="{F7223EA9-909F-4A7C-8938-A67AB06633BC}">
      <text>
        <r>
          <rPr>
            <sz val="9"/>
            <color indexed="81"/>
            <rFont val="Tahoma"/>
            <family val="2"/>
          </rPr>
          <t>In reality, with AGC on, this value varies independently of DL Gain.  So this is just an approximation, if AGC is on.</t>
        </r>
      </text>
    </comment>
    <comment ref="B23" authorId="0" shapeId="0" xr:uid="{283E217E-ADF5-44C2-AC82-58C9F1C9489F}">
      <text>
        <r>
          <rPr>
            <sz val="9"/>
            <color indexed="81"/>
            <rFont val="Tahoma"/>
            <family val="2"/>
          </rPr>
          <t>ADR amplifier cards in Costco BOMs are the 23/24dBm variety. Their max gains are 90 dBm.</t>
        </r>
      </text>
    </comment>
    <comment ref="C33" authorId="0" shapeId="0" xr:uid="{644B953E-70C3-4FD9-A43A-487F278D9F0B}">
      <text>
        <r>
          <rPr>
            <sz val="9"/>
            <color indexed="81"/>
            <rFont val="Tahoma"/>
            <family val="2"/>
          </rPr>
          <t>Read this off iBwave design.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B12508AA-A458-4C1A-9ADE-24E4E30D244C}">
      <text>
        <r>
          <rPr>
            <sz val="9"/>
            <color indexed="81"/>
            <rFont val="Tahoma"/>
            <family val="2"/>
          </rPr>
          <t>See box below:
Calculation of DAS noise's impact on BTS noise floor</t>
        </r>
      </text>
    </comment>
    <comment ref="G6" authorId="0" shapeId="0" xr:uid="{C1D72F74-F985-4179-BF2A-310749661FD6}">
      <text>
        <r>
          <rPr>
            <sz val="9"/>
            <color indexed="81"/>
            <rFont val="Tahoma"/>
            <family val="2"/>
          </rPr>
          <t>We want the DAS UL noise to hit the BTS radio at about -106 dBm or less, to cause 1dB or less of noise floor rise at the BTS.</t>
        </r>
      </text>
    </comment>
    <comment ref="C16" authorId="0" shapeId="0" xr:uid="{730C19A0-7D3B-4499-B13C-8AB5B171FFC3}">
      <text>
        <r>
          <rPr>
            <sz val="9"/>
            <color indexed="81"/>
            <rFont val="Tahoma"/>
            <family val="2"/>
          </rPr>
          <t>2 dB wiggle room.</t>
        </r>
      </text>
    </comment>
    <comment ref="G18" authorId="0" shapeId="0" xr:uid="{F4EF0061-781B-432F-A2C9-662B7FDADD62}">
      <text>
        <r>
          <rPr>
            <sz val="9"/>
            <color indexed="81"/>
            <rFont val="Tahoma"/>
            <family val="2"/>
          </rPr>
          <t>In reality, with AGC on, this value varies independently of DL Gain.  So this is just an approximation, if AGC is on.</t>
        </r>
      </text>
    </comment>
    <comment ref="B23" authorId="0" shapeId="0" xr:uid="{D7D72020-F377-4443-9F1E-4F0DC3986A64}">
      <text>
        <r>
          <rPr>
            <sz val="9"/>
            <color indexed="81"/>
            <rFont val="Tahoma"/>
            <family val="2"/>
          </rPr>
          <t>ADR amplifier cards in Costco BOMs are the 23/24dBm variety. Their max gains are 90 dBm.</t>
        </r>
      </text>
    </comment>
    <comment ref="C33" authorId="0" shapeId="0" xr:uid="{F993A8BF-FD3A-4AC5-BBA0-B5FC5F2878D3}">
      <text>
        <r>
          <rPr>
            <sz val="9"/>
            <color indexed="81"/>
            <rFont val="Tahoma"/>
            <family val="2"/>
          </rPr>
          <t>Read this off iBwave design.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DCD9295D-3737-4B3D-95FC-7C7388163B0C}">
      <text>
        <r>
          <rPr>
            <sz val="9"/>
            <color indexed="81"/>
            <rFont val="Tahoma"/>
            <family val="2"/>
          </rPr>
          <t>See box below:
Calculation of DAS noise's impact on BTS noise floor</t>
        </r>
      </text>
    </comment>
    <comment ref="G6" authorId="0" shapeId="0" xr:uid="{BFE6B3DA-ACCA-45FD-96B4-F1A4E60F8DC2}">
      <text>
        <r>
          <rPr>
            <sz val="9"/>
            <color indexed="81"/>
            <rFont val="Tahoma"/>
            <family val="2"/>
          </rPr>
          <t>We want the DAS UL noise to hit the BTS radio at about -106 dBm or less, to cause 1dB or less of noise floor rise at the BTS.</t>
        </r>
      </text>
    </comment>
    <comment ref="C16" authorId="0" shapeId="0" xr:uid="{F382EB97-2A02-45E0-AFA5-3F48F65E0A0A}">
      <text>
        <r>
          <rPr>
            <sz val="9"/>
            <color indexed="81"/>
            <rFont val="Tahoma"/>
            <family val="2"/>
          </rPr>
          <t>2 dB wiggle room.</t>
        </r>
      </text>
    </comment>
    <comment ref="G18" authorId="0" shapeId="0" xr:uid="{D4AACC85-74E8-4CBA-A1E3-99D768157328}">
      <text>
        <r>
          <rPr>
            <sz val="9"/>
            <color indexed="81"/>
            <rFont val="Tahoma"/>
            <family val="2"/>
          </rPr>
          <t>In reality, with AGC on, this value varies independently of DL Gain.  So this is just an approximation, if AGC is on.</t>
        </r>
      </text>
    </comment>
    <comment ref="B23" authorId="0" shapeId="0" xr:uid="{B76EC7CB-0297-441B-9830-A31C80A61822}">
      <text>
        <r>
          <rPr>
            <sz val="9"/>
            <color indexed="81"/>
            <rFont val="Tahoma"/>
            <family val="2"/>
          </rPr>
          <t>ADR amplifier cards in Costco BOMs are the 23/24dBm variety. Their max gains are 90 dBm.</t>
        </r>
      </text>
    </comment>
    <comment ref="C33" authorId="0" shapeId="0" xr:uid="{D37927E6-A886-4342-AD77-BFFAC730586B}">
      <text>
        <r>
          <rPr>
            <sz val="9"/>
            <color indexed="81"/>
            <rFont val="Tahoma"/>
            <family val="2"/>
          </rPr>
          <t>Read this off iBwave design.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John Willson</author>
  </authors>
  <commentList>
    <comment ref="J5" authorId="0" shapeId="0" xr:uid="{23D5AEA8-BFE6-4555-A688-F2100C2D622F}">
      <text>
        <r>
          <rPr>
            <sz val="9"/>
            <color indexed="81"/>
            <rFont val="Tahoma"/>
            <family val="2"/>
          </rPr>
          <t>See box below:
Calculation of DAS noise's impact on BTS noise floor</t>
        </r>
      </text>
    </comment>
    <comment ref="G6" authorId="0" shapeId="0" xr:uid="{EEADE528-5D04-4F45-8329-734C4977CB45}">
      <text>
        <r>
          <rPr>
            <sz val="9"/>
            <color indexed="81"/>
            <rFont val="Tahoma"/>
            <family val="2"/>
          </rPr>
          <t>We want the DAS UL noise to hit the BTS radio at about -106 dBm or less, to cause 1dB or less of noise floor rise at the BTS.</t>
        </r>
      </text>
    </comment>
    <comment ref="C16" authorId="0" shapeId="0" xr:uid="{6309E6F7-19F7-447A-A53C-93052E094329}">
      <text>
        <r>
          <rPr>
            <sz val="9"/>
            <color indexed="81"/>
            <rFont val="Tahoma"/>
            <family val="2"/>
          </rPr>
          <t>2 dB wiggle room.</t>
        </r>
      </text>
    </comment>
    <comment ref="G18" authorId="0" shapeId="0" xr:uid="{4C746323-2041-499A-88C9-5F9B7470416E}">
      <text>
        <r>
          <rPr>
            <sz val="9"/>
            <color indexed="81"/>
            <rFont val="Tahoma"/>
            <family val="2"/>
          </rPr>
          <t>In reality, with AGC on, this value varies independently of DL Gain.  So this is just an approximation, if AGC is on.</t>
        </r>
      </text>
    </comment>
    <comment ref="B23" authorId="0" shapeId="0" xr:uid="{9F3AF83A-B324-4742-93EF-AA55A42E89AB}">
      <text>
        <r>
          <rPr>
            <sz val="9"/>
            <color indexed="81"/>
            <rFont val="Tahoma"/>
            <family val="2"/>
          </rPr>
          <t>ADR amplifier cards in Costco BOMs are the 23/24dBm variety. Their max gains are 90 dBm.</t>
        </r>
      </text>
    </comment>
    <comment ref="C33" authorId="0" shapeId="0" xr:uid="{11C76B0F-F36F-4962-972C-CCE86A9CFCA8}">
      <text>
        <r>
          <rPr>
            <sz val="9"/>
            <color indexed="81"/>
            <rFont val="Tahoma"/>
            <family val="2"/>
          </rPr>
          <t>Read this off iBwave design.</t>
        </r>
      </text>
    </comment>
  </commentList>
</comments>
</file>

<file path=xl/sharedStrings.xml><?xml version="1.0" encoding="utf-8"?>
<sst xmlns="http://schemas.openxmlformats.org/spreadsheetml/2006/main" count="1395" uniqueCount="240">
  <si>
    <t>DOWNLINK</t>
  </si>
  <si>
    <t>Index</t>
  </si>
  <si>
    <t>Item</t>
  </si>
  <si>
    <t>Value</t>
  </si>
  <si>
    <t>Unit</t>
  </si>
  <si>
    <t>W</t>
  </si>
  <si>
    <t>dBm</t>
  </si>
  <si>
    <t>dB</t>
  </si>
  <si>
    <t>dBm RSRP</t>
  </si>
  <si>
    <t>Red Text</t>
  </si>
  <si>
    <t>Channel BW</t>
  </si>
  <si>
    <t>MHz</t>
  </si>
  <si>
    <t>RSRP to max RSSI conversion factor</t>
  </si>
  <si>
    <t>Check</t>
  </si>
  <si>
    <t>All loss figures must be expressed as a negative value</t>
  </si>
  <si>
    <t>BTS radio Tx Power, comp. channel power</t>
  </si>
  <si>
    <t>Band &amp; Technology</t>
  </si>
  <si>
    <t>Reference value.  Do not sum in link budget.</t>
  </si>
  <si>
    <t>DL Signal into ERA RFD port</t>
  </si>
  <si>
    <t>SDR DL AGC set point</t>
  </si>
  <si>
    <t>DL composite Tx power /channel @ CAPM</t>
  </si>
  <si>
    <t>DL Gain (dynamically set by Auto Gain Setting)</t>
  </si>
  <si>
    <t>ERA System Uplink Gain</t>
  </si>
  <si>
    <t>ERA Baseline UL Gain = DL Gain</t>
  </si>
  <si>
    <t>Number of CAPMs</t>
  </si>
  <si>
    <t>#</t>
  </si>
  <si>
    <t>OTA</t>
  </si>
  <si>
    <t>SDR</t>
  </si>
  <si>
    <t>ERA</t>
  </si>
  <si>
    <t>Optimization Parameter!</t>
  </si>
  <si>
    <t>Max composite channel RSSI at UE</t>
  </si>
  <si>
    <t>RSRP at UE</t>
  </si>
  <si>
    <t>Pathloss + DAS Loss, UE to CAPM</t>
  </si>
  <si>
    <t>UL TSSI out of RFD Port</t>
  </si>
  <si>
    <t>SDR UL Gain (same as DL, set by AGC)</t>
  </si>
  <si>
    <t>UL RSSI at Donor sector BTS radio</t>
  </si>
  <si>
    <t>NOISE</t>
  </si>
  <si>
    <t>Thermal Noise of CAPM in channel</t>
  </si>
  <si>
    <t>NF of CAPM</t>
  </si>
  <si>
    <t>Number of CAPMs (dB)</t>
  </si>
  <si>
    <t>UL Noise power out of RFD Port</t>
  </si>
  <si>
    <t>BTS Thermal Noise in channel</t>
  </si>
  <si>
    <t>BTS NF</t>
  </si>
  <si>
    <t>BTS Noise Floor</t>
  </si>
  <si>
    <t>OPT!</t>
  </si>
  <si>
    <t>EIRP from UE</t>
  </si>
  <si>
    <t>BTS Noise Floor with DAS UL Noise</t>
  </si>
  <si>
    <t>DAS UL RSSI at BTS radio</t>
  </si>
  <si>
    <t>Noise Rise at BTS due to DAS</t>
  </si>
  <si>
    <t>Calculation of DAS noise's impact on BTS noise floor:</t>
  </si>
  <si>
    <t>SDR NF</t>
  </si>
  <si>
    <t>UL Noise power into SDR</t>
  </si>
  <si>
    <t>Cable loss, SDR-to-ERA</t>
  </si>
  <si>
    <t>UL composite channel power out of SDR</t>
  </si>
  <si>
    <t>UL Noise power out of SDR</t>
  </si>
  <si>
    <t>UL composite channel power into SDR</t>
  </si>
  <si>
    <t>ERA RFD Uplink Gain Offset Setting [integer]</t>
  </si>
  <si>
    <t>ERA CAN Reduction = 10.Log(#APs)</t>
  </si>
  <si>
    <t>ERA Number of CAPMs [integer]</t>
  </si>
  <si>
    <t>Sum of line items above (Downlink)</t>
  </si>
  <si>
    <t>Sum of line items below (Uplink)</t>
  </si>
  <si>
    <t>Formatting:</t>
  </si>
  <si>
    <t>Costco DAS Link Budgets -- Off-Air, ADRF SDR and CommScope ERA</t>
  </si>
  <si>
    <t>Over the air</t>
  </si>
  <si>
    <t>ADRF SDR repeater</t>
  </si>
  <si>
    <t>CommScope ERA active DAS</t>
  </si>
  <si>
    <t>DL Signal after SDR (AGC set point)</t>
  </si>
  <si>
    <t>Physical attenuator, SDR-to-ERA</t>
  </si>
  <si>
    <t>Physical attenuator on SDR amp Donor port</t>
  </si>
  <si>
    <t>UL RSSI at CAPM</t>
  </si>
  <si>
    <t>Calculation of ERA System Uplink Gain:</t>
  </si>
  <si>
    <t>ERA System Uplink Gain (from below box)</t>
  </si>
  <si>
    <t>UL Noise Power at Donor sector BTS radio</t>
  </si>
  <si>
    <t>Operator #1: Bell</t>
  </si>
  <si>
    <t>NOTES</t>
  </si>
  <si>
    <t>LTE-1900</t>
  </si>
  <si>
    <t>LTE-2100</t>
  </si>
  <si>
    <t>LTE-2600</t>
  </si>
  <si>
    <t>Measured in the head-end room, at the end of the donor cable.  At the point between the donor line and the SDR combiner "ANT" (Antenna) port.  Do not include any physical attenuators in measurement.
Measure the RSRP of one LTE channel.</t>
  </si>
  <si>
    <t>Downlink donor signal RSRP in head-end</t>
  </si>
  <si>
    <t>Donor RSRP in donor cable (head-end room)</t>
  </si>
  <si>
    <t>dBm RSSI</t>
  </si>
  <si>
    <t>Pathloss, Donor sector radio to H.E.R.</t>
  </si>
  <si>
    <t>LTE channel bandwidth</t>
  </si>
  <si>
    <t>Max donor RSSI in donor cable (comp. ch pwr)</t>
  </si>
  <si>
    <t>TARGET DL Signal going into SDR (RSSI)</t>
  </si>
  <si>
    <t>EXPECTED DL Signal going into SDR (RSSI)</t>
  </si>
  <si>
    <t>DL Gain (dynamically set by AGC)(&lt;90dB)</t>
  </si>
  <si>
    <t>Required PHYS attenuation before SDR amp</t>
  </si>
  <si>
    <t>Passive DAS loss + Pathloss to UE</t>
  </si>
  <si>
    <t>Pathloss, H.E.R. to Donor sector radio</t>
  </si>
  <si>
    <t>Physical attenuator on SDR</t>
  </si>
  <si>
    <t>Actual PHYS attenuation before SDR amp</t>
  </si>
  <si>
    <t>Recommended PHYS attenuation between donor line and SDR amplifier card</t>
  </si>
  <si>
    <t>Get as close as you can by combining physical attenuators.  Do not go more than 2dB over or 3dB under.</t>
  </si>
  <si>
    <t>SDR Max Gain (SDR-24 amplifier card)</t>
  </si>
  <si>
    <t>Recommended ERA RFD Uplink Gain Offset Setting [integer]</t>
  </si>
  <si>
    <t>Number of CAPMs (2 or 3)</t>
  </si>
  <si>
    <t>count</t>
  </si>
  <si>
    <t>Max possible UL SINR (not considering traffic)</t>
  </si>
  <si>
    <t>CAPM NF</t>
  </si>
  <si>
    <t>Recommended UL Gain Offset:</t>
  </si>
  <si>
    <t>Actual ERA RFD Uplink Gain Offset Setting [integer]</t>
  </si>
  <si>
    <t>Max pathloss from CAPM to UE</t>
  </si>
  <si>
    <t>UPLINK Signal (worst case)</t>
  </si>
  <si>
    <t>Commissioning Parameters</t>
  </si>
  <si>
    <t>If all bands require some attenuation, recommend putting some in the common donor line and some on each amplifier card input.</t>
  </si>
  <si>
    <t>Positive means more UL than DL gain.
Negative means less UL than DL gain.</t>
  </si>
  <si>
    <t>Check design file</t>
  </si>
  <si>
    <t>Per spec sheet</t>
  </si>
  <si>
    <t>Bell/Telus</t>
  </si>
  <si>
    <t>Operator</t>
  </si>
  <si>
    <t>Channel</t>
  </si>
  <si>
    <t>RSRP without antenna gain</t>
  </si>
  <si>
    <t>SINR</t>
  </si>
  <si>
    <t>Original Rooftop Readings</t>
  </si>
  <si>
    <t>Default Values</t>
  </si>
  <si>
    <t>Responsible</t>
  </si>
  <si>
    <t>Designer</t>
  </si>
  <si>
    <t>Commis-sioner</t>
  </si>
  <si>
    <t>Rogers</t>
  </si>
  <si>
    <t>LTE 1900</t>
  </si>
  <si>
    <t>LTE 2100</t>
  </si>
  <si>
    <t>LTE 2600</t>
  </si>
  <si>
    <t>RSRP in head-end (donor cable)</t>
  </si>
  <si>
    <t>NOTES:</t>
  </si>
  <si>
    <t>We expect RSRP in the head-end to be approximately (20-5=) 15 dB greater than the RSRP measured on the roof (without antenna gain), because the donor antenna has about 20 dB of gain, and the donor cable has about 5 dB of loss.</t>
  </si>
  <si>
    <t>We expect SINR in the head-end to be approximately equal to the SINR measured on the roof.</t>
  </si>
  <si>
    <t>RSRP</t>
  </si>
  <si>
    <t>Designer to fill in</t>
  </si>
  <si>
    <t>Default value</t>
  </si>
  <si>
    <t>Commissioner to fill in</t>
  </si>
  <si>
    <t>Calculated value/recommendation</t>
  </si>
  <si>
    <t>dB   SINR gain or loss between rooftop and head-end room</t>
  </si>
  <si>
    <t>dB   Donor antenna gain + donor line cable losses (not including attenuators)</t>
  </si>
  <si>
    <t>Expected KPIs in Donor Line</t>
  </si>
  <si>
    <t>Instructions:</t>
  </si>
  <si>
    <t>Designer fills in table below with original rooftop readings.</t>
  </si>
  <si>
    <t>Commissioner measures KPIs in donor cable in head-end room (do not include any attenuators for measurement).  Enter into table below.</t>
  </si>
  <si>
    <t>"Deltas" columns will calculate the differences.  Any values out of expected range will turn red.</t>
  </si>
  <si>
    <t>Troubleshoot any values that do not meet expectations.</t>
  </si>
  <si>
    <t>Reference value</t>
  </si>
  <si>
    <t>Max SINR</t>
  </si>
  <si>
    <t>SDR-to-ERA loss (cable, combining, etc.)</t>
  </si>
  <si>
    <t>Expected values in 
H.E.R. donor cable</t>
  </si>
  <si>
    <t>Deltas: Measured vs. Expected</t>
  </si>
  <si>
    <t>Actual measured values in 
H.E.R. donor cable</t>
  </si>
  <si>
    <t>Purpose:</t>
  </si>
  <si>
    <t>To record and validate donor signals at the bottom end of the donor line</t>
  </si>
  <si>
    <t>To tell the commissioning team what attenuation and parameter values to apply</t>
  </si>
  <si>
    <t>Only use EXPECTATIONS and COMMISSIONING tabs.  You shouldn't need to look at the other tabs.</t>
  </si>
  <si>
    <t>Revision Control Table</t>
  </si>
  <si>
    <t>Date</t>
  </si>
  <si>
    <t>Version</t>
  </si>
  <si>
    <t>Description</t>
  </si>
  <si>
    <t>Author</t>
  </si>
  <si>
    <t>Reviewer</t>
  </si>
  <si>
    <t>John Willson</t>
  </si>
  <si>
    <t>Ali Talebian</t>
  </si>
  <si>
    <t>Added EXPECTATIONS and COMMISSIONING tabs.  Reviewed all with Phil, David, Andrew, Haitham, Boris, Ali.</t>
  </si>
  <si>
    <t>On site, Commissioning Team fills in the green cells, and reads recommended values.</t>
  </si>
  <si>
    <t>Designer fills in blue cells on both tabs, and gives this to the Commissioning Team.</t>
  </si>
  <si>
    <t>Operator #2: Rogers</t>
  </si>
  <si>
    <t>Default value per design</t>
  </si>
  <si>
    <t>UL noise power out of 
SDR combiner port (all bands)</t>
  </si>
  <si>
    <t>dBm Predicted</t>
  </si>
  <si>
    <t>dBm Measured</t>
  </si>
  <si>
    <t>Actual PHYS attenuation between donor line and SDR amplifier card 
(Attenuation values must be negative!)</t>
  </si>
  <si>
    <t>Measure this with CAPM RF ports terminated, ERA amplifiers active, and SDR amplifiers active.</t>
  </si>
  <si>
    <t>Expected UL noise power out of 
ERA RFD port</t>
  </si>
  <si>
    <t>Measure this with CAPM RF ports terminated, ERA amplifiers active.</t>
  </si>
  <si>
    <t>Donor Signal Measurements</t>
  </si>
  <si>
    <t>Physical Attenuators</t>
  </si>
  <si>
    <t>SDR Parameters</t>
  </si>
  <si>
    <t>ERA Parameters</t>
  </si>
  <si>
    <t>Calculated</t>
  </si>
  <si>
    <t>Record the values that you configured in ERA.</t>
  </si>
  <si>
    <t>Measured UL noise power out of 
ERA RFD port</t>
  </si>
  <si>
    <t>Uplink Noise</t>
  </si>
  <si>
    <t>Lowest predicted RSRP in iBwave Design</t>
  </si>
  <si>
    <t>-(CAPM Tx power -3dB (two operators) - lowest predicted RSRP - 10Log(60*BW(MHz)) (convert RSRP to RSSI))</t>
  </si>
  <si>
    <t>Separated UL noise calc's into ERA and SDR noise.  Added space for commissioners to record measured UL noise.  Added headings to COMMISSIONING page for clarity.</t>
  </si>
  <si>
    <t>Added calculations for a second operator.</t>
  </si>
  <si>
    <t>Per observation</t>
  </si>
  <si>
    <t>Design decision</t>
  </si>
  <si>
    <t>Number of RANs (1 or 2)</t>
  </si>
  <si>
    <t>CAPM Tx power/band (spec sheet)</t>
  </si>
  <si>
    <t>CAPM Tx power/band/operator</t>
  </si>
  <si>
    <t>Based on number of RANs (Operators), above</t>
  </si>
  <si>
    <t>If you have a second operator, make sure "Number of RANS" (above) is set to '2'.</t>
  </si>
  <si>
    <t>Reference</t>
  </si>
  <si>
    <t>Above (Operator #1 Default Values)</t>
  </si>
  <si>
    <t>Also equals number of repeaters in H.E.R.</t>
  </si>
  <si>
    <t>Zero because RTWP is measured before LNA, per David K.</t>
  </si>
  <si>
    <t>PCI</t>
  </si>
  <si>
    <t>Added PCI to EXPECTATIONS tab.</t>
  </si>
  <si>
    <t>-Corrected C30 from "+19" to "+36" because ERA max DL gain is 36 dB.
-Updated "UL Gain Offset" recommendation so the value doesn't change with actual UL Gain Offset.</t>
  </si>
  <si>
    <t>Phil Spatafora</t>
  </si>
  <si>
    <t>SDR DL ALC set point</t>
  </si>
  <si>
    <t>DL Gain (dynamically set by ALC)(&lt;90dB)</t>
  </si>
  <si>
    <t>SDR DL ALC setting</t>
  </si>
  <si>
    <t>SDR DL ALC Offset</t>
  </si>
  <si>
    <t>AGC</t>
  </si>
  <si>
    <t>OFF</t>
  </si>
  <si>
    <t>AGC should always be off for LTE &amp; 5G, per ADRF</t>
  </si>
  <si>
    <t>NOTE:  All attenuation and loss values must be negative</t>
  </si>
  <si>
    <t>Get as close as you can by combining physical attenuators.  Do not go over.</t>
  </si>
  <si>
    <t>SDR DL transmit power in band (ALC set point)</t>
  </si>
  <si>
    <t>Downlink Gain (Max)</t>
  </si>
  <si>
    <t>Uplink Gain (Max)</t>
  </si>
  <si>
    <t>Property of SDR amplifier module</t>
  </si>
  <si>
    <t>DL Gain (dynamically set by ALC)</t>
  </si>
  <si>
    <t>Recommended UL Gain</t>
  </si>
  <si>
    <t>Recommended DL Gain setting</t>
  </si>
  <si>
    <t>Actual Downlink Gain setting</t>
  </si>
  <si>
    <t>Actual Uplink Gain setting</t>
  </si>
  <si>
    <t>Commissioner</t>
  </si>
  <si>
    <t>Calculation of DAS total noise figure using Frii's formula:</t>
  </si>
  <si>
    <t>SDR Noise Figure</t>
  </si>
  <si>
    <t>SDR Noise Factor</t>
  </si>
  <si>
    <t>SDR Gain</t>
  </si>
  <si>
    <t>ERA Noise Factor</t>
  </si>
  <si>
    <t>ratio</t>
  </si>
  <si>
    <t>Total system Noise Factor (Frii's Formula)</t>
  </si>
  <si>
    <t>Total system Noise Figure</t>
  </si>
  <si>
    <t>SDR Gain Factor</t>
  </si>
  <si>
    <t>ERA Noise Figure per AP</t>
  </si>
  <si>
    <t>ERA number of APs</t>
  </si>
  <si>
    <t>ERA total Noise Figure</t>
  </si>
  <si>
    <t>ERA System UL Gain</t>
  </si>
  <si>
    <t>ERA System UL Gain Factor</t>
  </si>
  <si>
    <t>Total DAS system Noise Figure (from below)</t>
  </si>
  <si>
    <t>SDR UL Gain</t>
  </si>
  <si>
    <t>Optimal PHYS attenuation before SDR amp</t>
  </si>
  <si>
    <t>TARGET DL Signal going into SDR (RSSI)(not used)</t>
  </si>
  <si>
    <t>Max UL SINR, worst-case UE (traffic not considered)</t>
  </si>
  <si>
    <t>Max Tx power, DL and UL (CAPM, RFD)</t>
  </si>
  <si>
    <t>DL: per spec sheet.  UL: assumption.</t>
  </si>
  <si>
    <t>Max system gain, DL, UL (CAPM)</t>
  </si>
  <si>
    <t>-(CAPM Tx power -3dB (two operators) - lowest predicted RSRP in iBwave - 10Log(60*BW(MHz)) (converts RSRP to RSSI))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</si>
</sst>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8" x14ac:knownFonts="1">
    <font>
      <sz val="11"/>
      <color theme="1"/>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sz val="11"/>
      <color rgb="FF0070C0"/>
      <name val="Calibri"/>
      <family val="2"/>
      <scheme val="minor"/>
    </font>
    <font>
      <i/>
      <sz val="11"/>
      <color theme="1"/>
      <name val="Calibri"/>
      <family val="2"/>
      <scheme val="minor"/>
    </font>
    <font>
      <b/>
      <sz val="11"/>
      <color rgb="FFFF0000"/>
      <name val="Calibri"/>
      <family val="2"/>
      <scheme val="minor"/>
    </font>
    <font>
      <b/>
      <sz val="11"/>
      <color theme="1"/>
      <name val="Aptos Black"/>
      <family val="2"/>
    </font>
    <font>
      <sz val="9"/>
      <color indexed="81"/>
      <name val="Tahoma"/>
      <family val="2"/>
    </font>
    <font>
      <b/>
      <u/>
      <sz val="11"/>
      <color theme="1"/>
      <name val="Calibri"/>
      <family val="2"/>
      <scheme val="minor"/>
    </font>
    <font>
      <sz val="11"/>
      <name val="Calibri"/>
      <family val="2"/>
      <scheme val="minor"/>
    </font>
    <font>
      <sz val="18"/>
      <color theme="1"/>
      <name val="Calibri"/>
      <family val="2"/>
      <scheme val="minor"/>
    </font>
    <font>
      <u/>
      <sz val="11"/>
      <color theme="1"/>
      <name val="Calibri"/>
      <family val="2"/>
      <scheme val="minor"/>
    </font>
    <font>
      <b/>
      <sz val="11"/>
      <name val="Calibri"/>
      <family val="2"/>
      <scheme val="minor"/>
    </font>
    <font>
      <b/>
      <sz val="11"/>
      <color rgb="FF0070C0"/>
      <name val="Calibri"/>
      <family val="2"/>
      <scheme val="minor"/>
    </font>
    <font>
      <b/>
      <sz val="11"/>
      <color theme="9" tint="-0.249977111117893"/>
      <name val="Calibri"/>
      <family val="2"/>
      <scheme val="minor"/>
    </font>
    <font>
      <sz val="11"/>
      <color theme="9" tint="-0.249977111117893"/>
      <name val="Calibri"/>
      <family val="2"/>
      <scheme val="minor"/>
    </font>
    <font>
      <sz val="20"/>
      <name val="Calibri"/>
      <family val="2"/>
      <scheme val="minor"/>
    </font>
    <font>
      <sz val="20"/>
      <color theme="1"/>
      <name val="Calibri"/>
      <family val="2"/>
      <scheme val="minor"/>
    </font>
    <font>
      <b/>
      <sz val="20"/>
      <color rgb="FF0070C0"/>
      <name val="Calibri"/>
      <family val="2"/>
      <scheme val="minor"/>
    </font>
    <font>
      <b/>
      <sz val="20"/>
      <color theme="9" tint="-0.249977111117893"/>
      <name val="Calibri"/>
      <family val="2"/>
      <scheme val="minor"/>
    </font>
    <font>
      <b/>
      <sz val="20"/>
      <name val="Calibri"/>
      <family val="2"/>
      <scheme val="minor"/>
    </font>
    <font>
      <b/>
      <sz val="12"/>
      <color theme="1"/>
      <name val="Calibri"/>
      <family val="2"/>
      <scheme val="minor"/>
    </font>
    <font>
      <b/>
      <u/>
      <sz val="12"/>
      <color theme="1"/>
      <name val="Calibri"/>
      <family val="2"/>
      <scheme val="minor"/>
    </font>
    <font>
      <b/>
      <sz val="10"/>
      <color theme="1"/>
      <name val="Calibri"/>
      <family val="2"/>
      <scheme val="minor"/>
    </font>
    <font>
      <b/>
      <i/>
      <sz val="14"/>
      <color rgb="FFC00000"/>
      <name val="Calibri"/>
      <family val="2"/>
      <scheme val="minor"/>
    </font>
    <font>
      <sz val="11"/>
      <color theme="8" tint="-0.249977111117893"/>
      <name val="Calibri"/>
      <family val="2"/>
      <scheme val="minor"/>
    </font>
    <font>
      <b/>
      <sz val="9"/>
      <color indexed="81"/>
      <name val="Tahoma"/>
      <family val="2"/>
    </font>
  </fonts>
  <fills count="11">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D961"/>
        <bgColor indexed="64"/>
      </patternFill>
    </fill>
    <fill>
      <patternFill patternType="solid">
        <fgColor theme="0" tint="-0.14999847407452621"/>
        <bgColor indexed="64"/>
      </patternFill>
    </fill>
    <fill>
      <patternFill patternType="solid">
        <fgColor rgb="FFFF0000"/>
        <bgColor indexed="64"/>
      </patternFill>
    </fill>
  </fills>
  <borders count="23">
    <border>
      <left/>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161">
    <xf numFmtId="0" fontId="0" fillId="0" borderId="0" xfId="0"/>
    <xf numFmtId="0" fontId="3" fillId="0" borderId="0" xfId="0" applyFont="1"/>
    <xf numFmtId="0" fontId="2" fillId="0" borderId="1" xfId="0" applyFont="1" applyBorder="1"/>
    <xf numFmtId="0" fontId="0" fillId="0" borderId="2" xfId="0" applyBorder="1"/>
    <xf numFmtId="0" fontId="1" fillId="0" borderId="0" xfId="0" applyFont="1"/>
    <xf numFmtId="0" fontId="1"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5" fillId="0" borderId="0" xfId="0" applyFont="1" applyAlignment="1">
      <alignment vertical="top"/>
    </xf>
    <xf numFmtId="0" fontId="0" fillId="0" borderId="0" xfId="0" applyAlignment="1">
      <alignment vertical="top"/>
    </xf>
    <xf numFmtId="0" fontId="6" fillId="0" borderId="0" xfId="0" applyFont="1"/>
    <xf numFmtId="0" fontId="0" fillId="0" borderId="0" xfId="0" applyAlignment="1">
      <alignment horizontal="left" indent="1"/>
    </xf>
    <xf numFmtId="0" fontId="0" fillId="0" borderId="0" xfId="0" applyAlignment="1">
      <alignment horizontal="left" vertical="top" indent="1"/>
    </xf>
    <xf numFmtId="0" fontId="1" fillId="0" borderId="0" xfId="0" applyFont="1" applyAlignment="1">
      <alignment horizontal="left" indent="1"/>
    </xf>
    <xf numFmtId="0" fontId="0" fillId="0" borderId="1" xfId="0" applyBorder="1" applyAlignment="1">
      <alignment horizontal="left" indent="1"/>
    </xf>
    <xf numFmtId="0" fontId="2" fillId="0" borderId="1" xfId="0" applyFont="1" applyBorder="1" applyAlignment="1">
      <alignment horizontal="left" indent="1"/>
    </xf>
    <xf numFmtId="0" fontId="0" fillId="0" borderId="2" xfId="0" applyBorder="1" applyAlignment="1">
      <alignment horizontal="left" indent="1"/>
    </xf>
    <xf numFmtId="165" fontId="0" fillId="0" borderId="0" xfId="0" applyNumberFormat="1"/>
    <xf numFmtId="165" fontId="0" fillId="0" borderId="0" xfId="0" applyNumberFormat="1" applyAlignment="1">
      <alignment vertical="top"/>
    </xf>
    <xf numFmtId="165" fontId="2" fillId="0" borderId="1" xfId="0" applyNumberFormat="1" applyFont="1" applyBorder="1" applyAlignment="1">
      <alignment horizontal="right"/>
    </xf>
    <xf numFmtId="165" fontId="1" fillId="2" borderId="0" xfId="0" applyNumberFormat="1" applyFont="1" applyFill="1" applyAlignment="1">
      <alignment horizontal="right"/>
    </xf>
    <xf numFmtId="165" fontId="1" fillId="2" borderId="0" xfId="0" applyNumberFormat="1" applyFont="1" applyFill="1"/>
    <xf numFmtId="165" fontId="4" fillId="2" borderId="0" xfId="0" applyNumberFormat="1" applyFont="1" applyFill="1"/>
    <xf numFmtId="165" fontId="0" fillId="0" borderId="2" xfId="0" applyNumberFormat="1" applyBorder="1"/>
    <xf numFmtId="0" fontId="1" fillId="2" borderId="0" xfId="0" applyFont="1" applyFill="1"/>
    <xf numFmtId="165" fontId="0" fillId="0" borderId="0" xfId="0" applyNumberFormat="1" applyAlignment="1">
      <alignment horizontal="left" indent="1"/>
    </xf>
    <xf numFmtId="165" fontId="0" fillId="0" borderId="0" xfId="0" applyNumberFormat="1" applyAlignment="1">
      <alignment horizontal="left" vertical="top" indent="1"/>
    </xf>
    <xf numFmtId="165" fontId="2" fillId="0" borderId="1" xfId="0" applyNumberFormat="1" applyFont="1" applyBorder="1" applyAlignment="1">
      <alignment horizontal="left" indent="1"/>
    </xf>
    <xf numFmtId="165" fontId="1" fillId="0" borderId="0" xfId="0" quotePrefix="1" applyNumberFormat="1" applyFont="1" applyAlignment="1">
      <alignment horizontal="left" indent="1"/>
    </xf>
    <xf numFmtId="165" fontId="0" fillId="0" borderId="1" xfId="0" applyNumberFormat="1" applyBorder="1"/>
    <xf numFmtId="165" fontId="0" fillId="0" borderId="1" xfId="0" applyNumberFormat="1" applyBorder="1" applyAlignment="1">
      <alignment horizontal="left" indent="1"/>
    </xf>
    <xf numFmtId="0" fontId="2" fillId="0" borderId="0" xfId="0" applyFont="1" applyAlignment="1">
      <alignment horizontal="left" indent="1"/>
    </xf>
    <xf numFmtId="165" fontId="2" fillId="0" borderId="0" xfId="0" applyNumberFormat="1" applyFont="1"/>
    <xf numFmtId="165" fontId="2" fillId="0" borderId="0" xfId="0" applyNumberFormat="1" applyFont="1" applyAlignment="1">
      <alignment horizontal="left" indent="1"/>
    </xf>
    <xf numFmtId="165" fontId="0" fillId="0" borderId="4" xfId="0" applyNumberFormat="1" applyBorder="1"/>
    <xf numFmtId="165" fontId="0" fillId="0" borderId="5" xfId="0" applyNumberFormat="1" applyBorder="1" applyAlignment="1">
      <alignment horizontal="left" indent="1"/>
    </xf>
    <xf numFmtId="0" fontId="0" fillId="0" borderId="6" xfId="0" applyBorder="1" applyAlignment="1">
      <alignment horizontal="left" indent="1"/>
    </xf>
    <xf numFmtId="165" fontId="0" fillId="0" borderId="7" xfId="0" applyNumberFormat="1" applyBorder="1" applyAlignment="1">
      <alignment horizontal="left" indent="1"/>
    </xf>
    <xf numFmtId="0" fontId="0" fillId="0" borderId="8" xfId="0" applyBorder="1" applyAlignment="1">
      <alignment horizontal="left" indent="1"/>
    </xf>
    <xf numFmtId="165" fontId="0" fillId="0" borderId="9" xfId="0" applyNumberFormat="1" applyBorder="1" applyAlignment="1">
      <alignment horizontal="left" indent="1"/>
    </xf>
    <xf numFmtId="0" fontId="2" fillId="0" borderId="6" xfId="0" applyFont="1" applyBorder="1" applyAlignment="1">
      <alignment horizontal="left" indent="1"/>
    </xf>
    <xf numFmtId="165" fontId="2" fillId="0" borderId="7" xfId="0" applyNumberFormat="1" applyFont="1" applyBorder="1" applyAlignment="1">
      <alignment horizontal="left" indent="1"/>
    </xf>
    <xf numFmtId="0" fontId="0" fillId="0" borderId="10" xfId="0" applyBorder="1" applyAlignment="1">
      <alignment horizontal="left" indent="1"/>
    </xf>
    <xf numFmtId="165" fontId="0" fillId="0" borderId="11" xfId="0" applyNumberFormat="1" applyBorder="1"/>
    <xf numFmtId="165" fontId="0" fillId="0" borderId="12" xfId="0" applyNumberFormat="1" applyBorder="1" applyAlignment="1">
      <alignment horizontal="left" indent="1"/>
    </xf>
    <xf numFmtId="0" fontId="2" fillId="0" borderId="3" xfId="0" applyFont="1" applyBorder="1" applyAlignment="1">
      <alignment horizontal="left"/>
    </xf>
    <xf numFmtId="164" fontId="0" fillId="0" borderId="2" xfId="0" applyNumberFormat="1" applyBorder="1" applyAlignment="1">
      <alignment horizontal="center"/>
    </xf>
    <xf numFmtId="164" fontId="0" fillId="0" borderId="1" xfId="0" applyNumberFormat="1" applyBorder="1" applyAlignment="1">
      <alignment horizontal="center"/>
    </xf>
    <xf numFmtId="0" fontId="0" fillId="0" borderId="1" xfId="0" applyBorder="1"/>
    <xf numFmtId="0" fontId="2" fillId="0" borderId="0" xfId="0" applyFont="1" applyAlignment="1">
      <alignment horizontal="left"/>
    </xf>
    <xf numFmtId="0" fontId="6" fillId="0" borderId="0" xfId="0" applyFont="1" applyAlignment="1">
      <alignment horizontal="center"/>
    </xf>
    <xf numFmtId="0" fontId="1" fillId="0" borderId="6" xfId="0" applyFont="1" applyBorder="1" applyAlignment="1">
      <alignment horizontal="left" indent="1"/>
    </xf>
    <xf numFmtId="166" fontId="1" fillId="2" borderId="0" xfId="0" applyNumberFormat="1" applyFont="1" applyFill="1"/>
    <xf numFmtId="165" fontId="1" fillId="0" borderId="7" xfId="0" quotePrefix="1" applyNumberFormat="1" applyFont="1" applyBorder="1" applyAlignment="1">
      <alignment horizontal="left" indent="1"/>
    </xf>
    <xf numFmtId="0" fontId="0" fillId="0" borderId="13" xfId="0" applyBorder="1" applyAlignment="1">
      <alignment horizontal="left" indent="1"/>
    </xf>
    <xf numFmtId="165" fontId="0" fillId="0" borderId="14" xfId="0" applyNumberFormat="1" applyBorder="1" applyAlignment="1">
      <alignment horizontal="left" indent="1"/>
    </xf>
    <xf numFmtId="0" fontId="0" fillId="0" borderId="0" xfId="0" applyAlignment="1">
      <alignment horizontal="left" vertical="top" wrapText="1"/>
    </xf>
    <xf numFmtId="0" fontId="0" fillId="0" borderId="0" xfId="0" applyAlignment="1">
      <alignment vertical="top" wrapText="1"/>
    </xf>
    <xf numFmtId="0" fontId="9" fillId="0" borderId="0" xfId="0" applyFont="1" applyAlignment="1">
      <alignment vertical="top" wrapText="1"/>
    </xf>
    <xf numFmtId="0" fontId="0" fillId="0" borderId="15" xfId="0" applyBorder="1"/>
    <xf numFmtId="165" fontId="0" fillId="0" borderId="15" xfId="0" applyNumberFormat="1" applyBorder="1"/>
    <xf numFmtId="0" fontId="0" fillId="0" borderId="15" xfId="0" applyBorder="1" applyAlignment="1">
      <alignment horizontal="left" indent="1"/>
    </xf>
    <xf numFmtId="165" fontId="4" fillId="2" borderId="1" xfId="0" applyNumberFormat="1" applyFont="1" applyFill="1" applyBorder="1"/>
    <xf numFmtId="0" fontId="0" fillId="0" borderId="15" xfId="0" applyBorder="1" applyAlignment="1">
      <alignment vertical="center" wrapText="1"/>
    </xf>
    <xf numFmtId="0" fontId="0" fillId="0" borderId="15" xfId="0" applyBorder="1" applyAlignment="1">
      <alignment vertical="center"/>
    </xf>
    <xf numFmtId="0" fontId="0" fillId="0" borderId="0" xfId="0" applyAlignment="1">
      <alignment vertical="center" wrapText="1"/>
    </xf>
    <xf numFmtId="0" fontId="0" fillId="0" borderId="0" xfId="0" applyAlignment="1">
      <alignment vertical="center"/>
    </xf>
    <xf numFmtId="0" fontId="2" fillId="0" borderId="16" xfId="0" applyFont="1" applyBorder="1" applyAlignment="1">
      <alignment horizontal="right" vertical="top"/>
    </xf>
    <xf numFmtId="0" fontId="2" fillId="0" borderId="18" xfId="0" applyFont="1" applyBorder="1" applyAlignment="1">
      <alignment horizontal="right" vertical="top"/>
    </xf>
    <xf numFmtId="165" fontId="10" fillId="0" borderId="17" xfId="0" applyNumberFormat="1" applyFont="1" applyBorder="1" applyAlignment="1">
      <alignment vertical="center"/>
    </xf>
    <xf numFmtId="0" fontId="0" fillId="0" borderId="15" xfId="0" quotePrefix="1" applyBorder="1" applyAlignment="1">
      <alignment vertical="center" wrapText="1"/>
    </xf>
    <xf numFmtId="0" fontId="11" fillId="0" borderId="0" xfId="0" applyFont="1" applyAlignment="1">
      <alignment vertical="top"/>
    </xf>
    <xf numFmtId="0" fontId="2" fillId="0" borderId="0" xfId="0" applyFont="1" applyAlignment="1">
      <alignment vertical="top"/>
    </xf>
    <xf numFmtId="0" fontId="0" fillId="0" borderId="0" xfId="0" applyAlignment="1">
      <alignment horizontal="center" vertical="top"/>
    </xf>
    <xf numFmtId="0" fontId="0" fillId="0" borderId="0" xfId="0" applyAlignment="1">
      <alignment wrapText="1"/>
    </xf>
    <xf numFmtId="165" fontId="10" fillId="0" borderId="15" xfId="0" applyNumberFormat="1" applyFont="1" applyBorder="1" applyAlignment="1">
      <alignment vertical="center"/>
    </xf>
    <xf numFmtId="166" fontId="10" fillId="0" borderId="17" xfId="0" applyNumberFormat="1" applyFont="1" applyBorder="1" applyAlignment="1">
      <alignment vertical="center"/>
    </xf>
    <xf numFmtId="0" fontId="0" fillId="0" borderId="20" xfId="0" applyBorder="1"/>
    <xf numFmtId="0" fontId="12" fillId="0" borderId="0" xfId="0" applyFont="1" applyAlignment="1">
      <alignment vertical="top" wrapText="1"/>
    </xf>
    <xf numFmtId="164" fontId="10" fillId="2" borderId="0" xfId="0" applyNumberFormat="1" applyFont="1" applyFill="1" applyAlignment="1">
      <alignment horizontal="center"/>
    </xf>
    <xf numFmtId="164" fontId="13" fillId="0" borderId="0" xfId="0" applyNumberFormat="1" applyFont="1" applyAlignment="1">
      <alignment horizontal="center"/>
    </xf>
    <xf numFmtId="164" fontId="14" fillId="6" borderId="0" xfId="0" applyNumberFormat="1" applyFont="1" applyFill="1" applyAlignment="1">
      <alignment horizontal="center"/>
    </xf>
    <xf numFmtId="164" fontId="15" fillId="7" borderId="0" xfId="0" applyNumberFormat="1" applyFont="1" applyFill="1" applyAlignment="1">
      <alignment horizontal="center"/>
    </xf>
    <xf numFmtId="0" fontId="0" fillId="0" borderId="19" xfId="0" applyBorder="1" applyAlignment="1">
      <alignment horizontal="left" vertical="center"/>
    </xf>
    <xf numFmtId="164" fontId="0" fillId="0" borderId="19" xfId="0" applyNumberFormat="1" applyBorder="1" applyAlignment="1">
      <alignment horizontal="center" vertical="center"/>
    </xf>
    <xf numFmtId="164" fontId="4" fillId="6" borderId="19" xfId="0" applyNumberFormat="1" applyFont="1" applyFill="1" applyBorder="1" applyAlignment="1">
      <alignment horizontal="center" vertical="center"/>
    </xf>
    <xf numFmtId="0" fontId="2" fillId="8" borderId="19" xfId="0" applyFont="1" applyFill="1" applyBorder="1" applyAlignment="1">
      <alignment horizontal="center" wrapText="1"/>
    </xf>
    <xf numFmtId="0" fontId="2" fillId="8" borderId="19" xfId="0" applyFont="1" applyFill="1" applyBorder="1" applyAlignment="1">
      <alignment horizontal="center"/>
    </xf>
    <xf numFmtId="164" fontId="16" fillId="7" borderId="19" xfId="0" applyNumberFormat="1" applyFont="1" applyFill="1" applyBorder="1" applyAlignment="1">
      <alignment horizontal="center"/>
    </xf>
    <xf numFmtId="0" fontId="9" fillId="0" borderId="0" xfId="0" applyFont="1"/>
    <xf numFmtId="1" fontId="4" fillId="6" borderId="19" xfId="0" applyNumberFormat="1" applyFont="1" applyFill="1" applyBorder="1" applyAlignment="1">
      <alignment horizontal="right"/>
    </xf>
    <xf numFmtId="165" fontId="10" fillId="2" borderId="17" xfId="0" applyNumberFormat="1" applyFont="1" applyFill="1" applyBorder="1" applyAlignment="1">
      <alignment vertical="center"/>
    </xf>
    <xf numFmtId="165" fontId="16" fillId="7" borderId="17" xfId="0" applyNumberFormat="1" applyFont="1" applyFill="1" applyBorder="1" applyAlignment="1">
      <alignment vertical="center"/>
    </xf>
    <xf numFmtId="165" fontId="16" fillId="7" borderId="19" xfId="0" applyNumberFormat="1" applyFont="1" applyFill="1" applyBorder="1" applyAlignment="1">
      <alignment vertical="center"/>
    </xf>
    <xf numFmtId="0" fontId="10" fillId="0" borderId="19" xfId="0" applyFont="1" applyBorder="1" applyAlignment="1">
      <alignment vertical="center"/>
    </xf>
    <xf numFmtId="165" fontId="10" fillId="0" borderId="19" xfId="0" applyNumberFormat="1" applyFont="1" applyBorder="1" applyAlignment="1">
      <alignment vertical="center"/>
    </xf>
    <xf numFmtId="1" fontId="1" fillId="2" borderId="0" xfId="0" applyNumberFormat="1" applyFont="1" applyFill="1"/>
    <xf numFmtId="165" fontId="16" fillId="0" borderId="0" xfId="0" applyNumberFormat="1" applyFont="1" applyAlignment="1">
      <alignment vertical="center"/>
    </xf>
    <xf numFmtId="1" fontId="4" fillId="6" borderId="17" xfId="0" applyNumberFormat="1" applyFont="1" applyFill="1" applyBorder="1" applyAlignment="1">
      <alignment horizontal="right"/>
    </xf>
    <xf numFmtId="0" fontId="3" fillId="0" borderId="0" xfId="0" applyFont="1" applyAlignment="1">
      <alignment vertical="top"/>
    </xf>
    <xf numFmtId="0" fontId="2" fillId="0" borderId="19" xfId="0" applyFont="1" applyBorder="1" applyAlignment="1">
      <alignment vertical="top"/>
    </xf>
    <xf numFmtId="0" fontId="2" fillId="0" borderId="19" xfId="0" applyFont="1" applyBorder="1" applyAlignment="1">
      <alignment vertical="top" wrapText="1"/>
    </xf>
    <xf numFmtId="0" fontId="0" fillId="0" borderId="19" xfId="0" applyBorder="1" applyAlignment="1">
      <alignment vertical="top"/>
    </xf>
    <xf numFmtId="0" fontId="0" fillId="0" borderId="19" xfId="0" applyBorder="1" applyAlignment="1">
      <alignment vertical="top" wrapText="1"/>
    </xf>
    <xf numFmtId="0" fontId="2" fillId="0" borderId="19" xfId="0" applyFont="1" applyBorder="1" applyAlignment="1">
      <alignment horizontal="center" vertical="top"/>
    </xf>
    <xf numFmtId="16" fontId="0" fillId="0" borderId="19" xfId="0" applyNumberFormat="1" applyBorder="1" applyAlignment="1">
      <alignment horizontal="center" vertical="top"/>
    </xf>
    <xf numFmtId="0" fontId="0" fillId="0" borderId="19" xfId="0" applyBorder="1" applyAlignment="1">
      <alignment horizontal="center" vertical="top"/>
    </xf>
    <xf numFmtId="164" fontId="10" fillId="2" borderId="1" xfId="0" applyNumberFormat="1" applyFont="1" applyFill="1" applyBorder="1" applyAlignment="1">
      <alignment horizontal="right"/>
    </xf>
    <xf numFmtId="164" fontId="10" fillId="2" borderId="15" xfId="0" applyNumberFormat="1" applyFont="1" applyFill="1" applyBorder="1" applyAlignment="1">
      <alignment horizontal="right"/>
    </xf>
    <xf numFmtId="165" fontId="10" fillId="0" borderId="17" xfId="0" applyNumberFormat="1" applyFont="1" applyBorder="1" applyAlignment="1">
      <alignment vertical="center" wrapText="1"/>
    </xf>
    <xf numFmtId="165" fontId="16" fillId="7" borderId="21" xfId="0" applyNumberFormat="1" applyFont="1" applyFill="1"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0" fontId="0" fillId="0" borderId="1" xfId="0" applyBorder="1" applyAlignment="1">
      <alignment vertical="center"/>
    </xf>
    <xf numFmtId="164" fontId="17" fillId="2" borderId="0" xfId="0" applyNumberFormat="1" applyFont="1" applyFill="1" applyAlignment="1">
      <alignment horizontal="center"/>
    </xf>
    <xf numFmtId="0" fontId="18" fillId="0" borderId="0" xfId="0" applyFont="1"/>
    <xf numFmtId="164" fontId="19" fillId="6" borderId="0" xfId="0" applyNumberFormat="1" applyFont="1" applyFill="1" applyAlignment="1">
      <alignment horizontal="center"/>
    </xf>
    <xf numFmtId="164" fontId="20" fillId="7" borderId="0" xfId="0" applyNumberFormat="1" applyFont="1" applyFill="1" applyAlignment="1">
      <alignment horizontal="center"/>
    </xf>
    <xf numFmtId="164" fontId="21" fillId="0" borderId="0" xfId="0" applyNumberFormat="1" applyFont="1" applyAlignment="1">
      <alignment horizontal="center"/>
    </xf>
    <xf numFmtId="0" fontId="22" fillId="0" borderId="0" xfId="0" applyFont="1" applyAlignment="1">
      <alignment vertical="top" wrapText="1"/>
    </xf>
    <xf numFmtId="0" fontId="22" fillId="0" borderId="1" xfId="0" applyFont="1" applyBorder="1" applyAlignment="1">
      <alignment vertical="center" wrapText="1"/>
    </xf>
    <xf numFmtId="0" fontId="23" fillId="0" borderId="0" xfId="0" applyFont="1" applyAlignment="1">
      <alignment vertical="center" wrapText="1"/>
    </xf>
    <xf numFmtId="0" fontId="24" fillId="0" borderId="0" xfId="0" applyFont="1" applyAlignment="1">
      <alignment horizontal="left"/>
    </xf>
    <xf numFmtId="165" fontId="10" fillId="2" borderId="20" xfId="0" applyNumberFormat="1" applyFont="1" applyFill="1" applyBorder="1" applyAlignment="1">
      <alignment vertical="center"/>
    </xf>
    <xf numFmtId="0" fontId="0" fillId="0" borderId="22" xfId="0" applyBorder="1" applyAlignment="1">
      <alignment vertical="top"/>
    </xf>
    <xf numFmtId="0" fontId="0" fillId="0" borderId="1" xfId="0" applyBorder="1" applyAlignment="1">
      <alignment vertical="top"/>
    </xf>
    <xf numFmtId="0" fontId="10" fillId="6" borderId="17" xfId="0" applyFont="1" applyFill="1" applyBorder="1" applyAlignment="1">
      <alignment vertical="center"/>
    </xf>
    <xf numFmtId="165" fontId="10" fillId="6" borderId="17" xfId="0" applyNumberFormat="1" applyFont="1" applyFill="1" applyBorder="1" applyAlignment="1">
      <alignment vertical="center"/>
    </xf>
    <xf numFmtId="0" fontId="1" fillId="0" borderId="0" xfId="0" applyFont="1" applyAlignment="1">
      <alignment vertical="center"/>
    </xf>
    <xf numFmtId="165" fontId="10" fillId="0" borderId="20" xfId="0" applyNumberFormat="1" applyFont="1" applyBorder="1" applyAlignment="1">
      <alignment vertical="center"/>
    </xf>
    <xf numFmtId="0" fontId="0" fillId="0" borderId="19" xfId="0" quotePrefix="1" applyBorder="1" applyAlignment="1">
      <alignment vertical="top" wrapText="1"/>
    </xf>
    <xf numFmtId="0" fontId="4" fillId="6" borderId="19" xfId="0" applyFont="1" applyFill="1" applyBorder="1" applyAlignment="1">
      <alignment horizontal="center" vertical="center"/>
    </xf>
    <xf numFmtId="0" fontId="0" fillId="0" borderId="19" xfId="0" applyBorder="1" applyAlignment="1">
      <alignment horizontal="center" vertical="center"/>
    </xf>
    <xf numFmtId="0" fontId="16" fillId="7" borderId="19" xfId="0" applyFont="1" applyFill="1" applyBorder="1" applyAlignment="1">
      <alignment horizontal="center"/>
    </xf>
    <xf numFmtId="0" fontId="10" fillId="2" borderId="17" xfId="0" applyFont="1" applyFill="1" applyBorder="1" applyAlignment="1">
      <alignment vertical="center"/>
    </xf>
    <xf numFmtId="165" fontId="10" fillId="2" borderId="17" xfId="0" applyNumberFormat="1" applyFont="1" applyFill="1" applyBorder="1" applyAlignment="1">
      <alignment horizontal="center" vertical="center"/>
    </xf>
    <xf numFmtId="0" fontId="25" fillId="0" borderId="0" xfId="0" applyFont="1" applyAlignment="1">
      <alignment vertical="top"/>
    </xf>
    <xf numFmtId="165" fontId="10" fillId="0" borderId="7" xfId="0" quotePrefix="1" applyNumberFormat="1" applyFont="1" applyBorder="1" applyAlignment="1">
      <alignment horizontal="left" indent="1"/>
    </xf>
    <xf numFmtId="165" fontId="10" fillId="2" borderId="17" xfId="0" applyNumberFormat="1" applyFont="1" applyFill="1" applyBorder="1" applyAlignment="1">
      <alignment horizontal="right" vertical="center"/>
    </xf>
    <xf numFmtId="165" fontId="10" fillId="0" borderId="17" xfId="0" applyNumberFormat="1" applyFont="1" applyBorder="1" applyAlignment="1">
      <alignment horizontal="right" vertical="center"/>
    </xf>
    <xf numFmtId="0" fontId="2" fillId="0" borderId="3" xfId="0" applyFont="1" applyBorder="1" applyAlignment="1">
      <alignment horizontal="left" indent="1"/>
    </xf>
    <xf numFmtId="164" fontId="0" fillId="0" borderId="0" xfId="0" applyNumberFormat="1"/>
    <xf numFmtId="165" fontId="0" fillId="0" borderId="7" xfId="0" quotePrefix="1" applyNumberFormat="1" applyBorder="1" applyAlignment="1">
      <alignment horizontal="left" indent="1"/>
    </xf>
    <xf numFmtId="1" fontId="26" fillId="2" borderId="0" xfId="0" applyNumberFormat="1" applyFont="1" applyFill="1"/>
    <xf numFmtId="166" fontId="2" fillId="0" borderId="0" xfId="0" applyNumberFormat="1" applyFont="1"/>
    <xf numFmtId="164" fontId="0" fillId="0" borderId="1" xfId="0" applyNumberFormat="1" applyBorder="1"/>
    <xf numFmtId="0" fontId="0" fillId="9" borderId="0" xfId="0" applyFill="1"/>
    <xf numFmtId="0" fontId="0" fillId="9" borderId="2" xfId="0" applyFill="1" applyBorder="1"/>
    <xf numFmtId="0" fontId="0" fillId="9" borderId="2" xfId="0" applyFill="1" applyBorder="1" applyAlignment="1">
      <alignment horizontal="left" indent="1"/>
    </xf>
    <xf numFmtId="165" fontId="0" fillId="9" borderId="0" xfId="0" applyNumberFormat="1" applyFill="1"/>
    <xf numFmtId="0" fontId="0" fillId="0" borderId="0" xfId="0" applyAlignment="1">
      <alignment horizontal="left" vertical="top" wrapText="1"/>
    </xf>
    <xf numFmtId="0" fontId="2" fillId="3" borderId="19"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7" fillId="5" borderId="0" xfId="0" applyFont="1" applyFill="1" applyAlignment="1">
      <alignment horizontal="center"/>
    </xf>
    <xf numFmtId="0" fontId="7" fillId="3" borderId="0" xfId="0" applyFont="1" applyFill="1" applyAlignment="1">
      <alignment horizontal="center"/>
    </xf>
    <xf numFmtId="0" fontId="7" fillId="4" borderId="0" xfId="0" applyFont="1" applyFill="1" applyAlignment="1">
      <alignment horizontal="center"/>
    </xf>
    <xf numFmtId="165" fontId="1" fillId="10" borderId="21" xfId="0" applyNumberFormat="1" applyFont="1" applyFill="1" applyBorder="1" applyAlignment="1">
      <alignment vertical="center"/>
    </xf>
    <xf numFmtId="165" fontId="10" fillId="10" borderId="15" xfId="0" applyNumberFormat="1" applyFont="1" applyFill="1" applyBorder="1" applyAlignment="1">
      <alignment vertical="center"/>
    </xf>
    <xf numFmtId="165" fontId="10" fillId="10" borderId="17" xfId="0" applyNumberFormat="1" applyFont="1" applyFill="1" applyBorder="1" applyAlignment="1">
      <alignment vertical="center"/>
    </xf>
  </cellXfs>
  <cellStyles count="1">
    <cellStyle name="Normal" xfId="0" builtinId="0"/>
  </cellStyles>
  <dxfs count="1">
    <dxf>
      <fill>
        <patternFill>
          <bgColor rgb="FFFF0000"/>
        </patternFill>
      </fill>
    </dxf>
  </dxfs>
  <tableStyles count="0" defaultTableStyle="TableStyleMedium2" defaultPivotStyle="PivotStyleLight16"/>
  <colors>
    <mruColors>
      <color rgb="FFFFD9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47625</xdr:colOff>
      <xdr:row>4</xdr:row>
      <xdr:rowOff>38099</xdr:rowOff>
    </xdr:from>
    <xdr:to>
      <xdr:col>14</xdr:col>
      <xdr:colOff>400050</xdr:colOff>
      <xdr:row>50</xdr:row>
      <xdr:rowOff>66674</xdr:rowOff>
    </xdr:to>
    <xdr:sp macro="" textlink="">
      <xdr:nvSpPr>
        <xdr:cNvPr id="2" name="TextBox 1">
          <a:extLst>
            <a:ext uri="{FF2B5EF4-FFF2-40B4-BE49-F238E27FC236}">
              <a16:creationId xmlns:a16="http://schemas.microsoft.com/office/drawing/2014/main" id="{A259A238-34A2-9638-78C9-C7129F70AC68}"/>
            </a:ext>
          </a:extLst>
        </xdr:cNvPr>
        <xdr:cNvSpPr txBox="1"/>
      </xdr:nvSpPr>
      <xdr:spPr>
        <a:xfrm>
          <a:off x="9839325" y="419099"/>
          <a:ext cx="4057650" cy="410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strike="noStrike">
              <a:solidFill>
                <a:schemeClr val="dk1"/>
              </a:solidFill>
              <a:effectLst/>
              <a:latin typeface="+mn-lt"/>
              <a:ea typeface="+mn-ea"/>
              <a:cs typeface="+mn-cs"/>
            </a:rPr>
            <a:t>NOTES:</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This link budget assumes one LTE/NR channel, and one operator, per band.</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We are currently using ALC on the ADRF SDRs</a:t>
          </a:r>
          <a:r>
            <a:rPr lang="en-US" sz="1100" b="0" i="0" u="none" strike="noStrike" baseline="0">
              <a:solidFill>
                <a:schemeClr val="dk1"/>
              </a:solidFill>
              <a:effectLst/>
              <a:latin typeface="+mn-lt"/>
              <a:ea typeface="+mn-ea"/>
              <a:cs typeface="+mn-cs"/>
            </a:rPr>
            <a:t> (</a:t>
          </a:r>
          <a:r>
            <a:rPr lang="en-US" sz="1100" b="1" i="1" u="none" strike="noStrike" baseline="0">
              <a:solidFill>
                <a:schemeClr val="dk1"/>
              </a:solidFill>
              <a:effectLst/>
              <a:latin typeface="+mn-lt"/>
              <a:ea typeface="+mn-ea"/>
              <a:cs typeface="+mn-cs"/>
            </a:rPr>
            <a:t>not</a:t>
          </a:r>
          <a:r>
            <a:rPr lang="en-US" sz="1100" b="0" i="0" u="none" strike="noStrike" baseline="0">
              <a:solidFill>
                <a:schemeClr val="dk1"/>
              </a:solidFill>
              <a:effectLst/>
              <a:latin typeface="+mn-lt"/>
              <a:ea typeface="+mn-ea"/>
              <a:cs typeface="+mn-cs"/>
            </a:rPr>
            <a:t> AGC).</a:t>
          </a:r>
          <a:endParaRPr lang="en-US"/>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Asking the AGC to make a large reduction of SDR gain when the donor signal is maximized has certain negative effects: </a:t>
          </a:r>
          <a:r>
            <a:rPr lang="en-US"/>
            <a:t> </a:t>
          </a:r>
        </a:p>
        <a:p>
          <a:r>
            <a:rPr lang="en-US" sz="1100" b="0" i="0" u="none" strike="noStrike">
              <a:solidFill>
                <a:schemeClr val="dk1"/>
              </a:solidFill>
              <a:effectLst/>
              <a:latin typeface="+mn-lt"/>
              <a:ea typeface="+mn-ea"/>
              <a:cs typeface="+mn-cs"/>
            </a:rPr>
            <a:t>* The downlink coverage, in terms of RSRP, "breathes" in and out as traffic levels change on the sector.  Areas of weak coverage in the store may lose and gain coverage unpredictably over time.</a:t>
          </a:r>
          <a:r>
            <a:rPr lang="en-US"/>
            <a:t> </a:t>
          </a:r>
        </a:p>
        <a:p>
          <a:r>
            <a:rPr lang="en-US" sz="1100" b="0" i="0" u="none" strike="noStrike">
              <a:solidFill>
                <a:schemeClr val="dk1"/>
              </a:solidFill>
              <a:effectLst/>
              <a:latin typeface="+mn-lt"/>
              <a:ea typeface="+mn-ea"/>
              <a:cs typeface="+mn-cs"/>
            </a:rPr>
            <a:t>* The uplink noise being injected back to the donor sector increases by the magnitude of AGC intervention, during low traffic conditions.</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Therefore, our approach is to use physical attenuation to reduce a strong downlink donor signal,</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while still achieving a usable</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input signal power into the Era RFD,</a:t>
          </a:r>
          <a:r>
            <a:rPr lang="en-US" sz="1100" b="0" i="0" u="none" strike="noStrike" baseline="0">
              <a:solidFill>
                <a:schemeClr val="dk1"/>
              </a:solidFill>
              <a:effectLst/>
              <a:latin typeface="+mn-lt"/>
              <a:ea typeface="+mn-ea"/>
              <a:cs typeface="+mn-cs"/>
            </a:rPr>
            <a:t> plus ALC.</a:t>
          </a:r>
          <a:endParaRPr lang="en-US" sz="1100"/>
        </a:p>
      </xdr:txBody>
    </xdr:sp>
    <xdr:clientData/>
  </xdr:twoCellAnchor>
  <xdr:twoCellAnchor editAs="oneCell">
    <xdr:from>
      <xdr:col>8</xdr:col>
      <xdr:colOff>66675</xdr:colOff>
      <xdr:row>0</xdr:row>
      <xdr:rowOff>114300</xdr:rowOff>
    </xdr:from>
    <xdr:to>
      <xdr:col>12</xdr:col>
      <xdr:colOff>529994</xdr:colOff>
      <xdr:row>3</xdr:row>
      <xdr:rowOff>139169</xdr:rowOff>
    </xdr:to>
    <xdr:pic>
      <xdr:nvPicPr>
        <xdr:cNvPr id="4" name="Picture 3">
          <a:extLst>
            <a:ext uri="{FF2B5EF4-FFF2-40B4-BE49-F238E27FC236}">
              <a16:creationId xmlns:a16="http://schemas.microsoft.com/office/drawing/2014/main" id="{4ED2250B-87C5-187E-7138-F75F05F257F6}"/>
            </a:ext>
          </a:extLst>
        </xdr:cNvPr>
        <xdr:cNvPicPr>
          <a:picLocks noChangeAspect="1"/>
        </xdr:cNvPicPr>
      </xdr:nvPicPr>
      <xdr:blipFill>
        <a:blip xmlns:r="http://schemas.openxmlformats.org/officeDocument/2006/relationships" r:embed="rId1"/>
        <a:stretch>
          <a:fillRect/>
        </a:stretch>
      </xdr:blipFill>
      <xdr:spPr>
        <a:xfrm>
          <a:off x="10010775" y="114300"/>
          <a:ext cx="2896004"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4" name="Arrow: Down 3">
          <a:extLst>
            <a:ext uri="{FF2B5EF4-FFF2-40B4-BE49-F238E27FC236}">
              <a16:creationId xmlns:a16="http://schemas.microsoft.com/office/drawing/2014/main" id="{7C62EBC6-7907-530C-87C0-6E2F1F47F37C}"/>
            </a:ext>
          </a:extLst>
        </xdr:cNvPr>
        <xdr:cNvSpPr/>
      </xdr:nvSpPr>
      <xdr:spPr>
        <a:xfrm>
          <a:off x="2686050" y="1038225"/>
          <a:ext cx="819150" cy="2085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5" name="Arrow: Down 4">
          <a:extLst>
            <a:ext uri="{FF2B5EF4-FFF2-40B4-BE49-F238E27FC236}">
              <a16:creationId xmlns:a16="http://schemas.microsoft.com/office/drawing/2014/main" id="{D128B932-4EFA-4B61-A316-A0C0AD3EEE5A}"/>
            </a:ext>
          </a:extLst>
        </xdr:cNvPr>
        <xdr:cNvSpPr/>
      </xdr:nvSpPr>
      <xdr:spPr>
        <a:xfrm rot="10800000">
          <a:off x="7991475" y="1009650"/>
          <a:ext cx="819150" cy="2085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6" name="Straight Arrow Connector 5">
          <a:extLst>
            <a:ext uri="{FF2B5EF4-FFF2-40B4-BE49-F238E27FC236}">
              <a16:creationId xmlns:a16="http://schemas.microsoft.com/office/drawing/2014/main" id="{F5C07283-D87D-4E2C-AF7C-5AF40E9737C7}"/>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7" name="Arrow: Down 6">
          <a:extLst>
            <a:ext uri="{FF2B5EF4-FFF2-40B4-BE49-F238E27FC236}">
              <a16:creationId xmlns:a16="http://schemas.microsoft.com/office/drawing/2014/main" id="{1C55F57A-CC7B-42A6-B203-0C12BB0292BD}"/>
            </a:ext>
          </a:extLst>
        </xdr:cNvPr>
        <xdr:cNvSpPr/>
      </xdr:nvSpPr>
      <xdr:spPr>
        <a:xfrm rot="10800000">
          <a:off x="13192125" y="1009650"/>
          <a:ext cx="819150" cy="2085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8" name="Arrow: Down 7">
          <a:extLst>
            <a:ext uri="{FF2B5EF4-FFF2-40B4-BE49-F238E27FC236}">
              <a16:creationId xmlns:a16="http://schemas.microsoft.com/office/drawing/2014/main" id="{29C37E89-7417-4EEE-880B-4D53C933D3C1}"/>
            </a:ext>
          </a:extLst>
        </xdr:cNvPr>
        <xdr:cNvSpPr/>
      </xdr:nvSpPr>
      <xdr:spPr>
        <a:xfrm>
          <a:off x="13020675" y="76485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2" name="Arrow: Down 1">
          <a:extLst>
            <a:ext uri="{FF2B5EF4-FFF2-40B4-BE49-F238E27FC236}">
              <a16:creationId xmlns:a16="http://schemas.microsoft.com/office/drawing/2014/main" id="{F8F74D15-D302-4E10-8462-0E8FD239BAB7}"/>
            </a:ext>
          </a:extLst>
        </xdr:cNvPr>
        <xdr:cNvSpPr/>
      </xdr:nvSpPr>
      <xdr:spPr>
        <a:xfrm>
          <a:off x="7972425" y="7848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9" name="Straight Arrow Connector 8">
          <a:extLst>
            <a:ext uri="{FF2B5EF4-FFF2-40B4-BE49-F238E27FC236}">
              <a16:creationId xmlns:a16="http://schemas.microsoft.com/office/drawing/2014/main" id="{C95B8C61-F1E3-4847-9E36-84B05FBBC94C}"/>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596518</xdr:colOff>
      <xdr:row>10</xdr:row>
      <xdr:rowOff>51505</xdr:rowOff>
    </xdr:from>
    <xdr:to>
      <xdr:col>15</xdr:col>
      <xdr:colOff>242443</xdr:colOff>
      <xdr:row>18</xdr:row>
      <xdr:rowOff>68364</xdr:rowOff>
    </xdr:to>
    <xdr:sp macro="" textlink="">
      <xdr:nvSpPr>
        <xdr:cNvPr id="3" name="TextBox 2">
          <a:extLst>
            <a:ext uri="{FF2B5EF4-FFF2-40B4-BE49-F238E27FC236}">
              <a16:creationId xmlns:a16="http://schemas.microsoft.com/office/drawing/2014/main" id="{10FECCEB-6CAA-4ADD-76F6-5DCB7E5A270C}"/>
            </a:ext>
          </a:extLst>
        </xdr:cNvPr>
        <xdr:cNvSpPr txBox="1"/>
      </xdr:nvSpPr>
      <xdr:spPr>
        <a:xfrm rot="439916">
          <a:off x="15569818" y="2137480"/>
          <a:ext cx="2398650" cy="1540859"/>
        </a:xfrm>
        <a:prstGeom prst="rect">
          <a:avLst/>
        </a:prstGeom>
        <a:solidFill>
          <a:schemeClr val="accent6">
            <a:lumMod val="20000"/>
            <a:lumOff val="80000"/>
          </a:schemeClr>
        </a:solidFill>
        <a:ln w="9525" cmpd="sng">
          <a:solidFill>
            <a:schemeClr val="lt1">
              <a:shade val="50000"/>
            </a:schemeClr>
          </a:solidFill>
        </a:ln>
        <a:effectLst>
          <a:outerShdw blurRad="50800" dir="5400000" sx="106000" sy="106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Downlink link budget is calculated from top to bottom, and should be read that way.</a:t>
          </a:r>
        </a:p>
        <a:p>
          <a:endParaRPr lang="en-US" sz="1100"/>
        </a:p>
        <a:p>
          <a:r>
            <a:rPr lang="en-US" sz="1100"/>
            <a:t>The Uplink and Noise budgets are calculated from bottom to top, and should be read that way.</a:t>
          </a:r>
        </a:p>
      </xdr:txBody>
    </xdr:sp>
    <xdr:clientData/>
  </xdr:twoCellAnchor>
  <xdr:twoCellAnchor>
    <xdr:from>
      <xdr:col>11</xdr:col>
      <xdr:colOff>478406</xdr:colOff>
      <xdr:row>1</xdr:row>
      <xdr:rowOff>89780</xdr:rowOff>
    </xdr:from>
    <xdr:to>
      <xdr:col>15</xdr:col>
      <xdr:colOff>126236</xdr:colOff>
      <xdr:row>8</xdr:row>
      <xdr:rowOff>179477</xdr:rowOff>
    </xdr:to>
    <xdr:sp macro="" textlink="">
      <xdr:nvSpPr>
        <xdr:cNvPr id="10" name="TextBox 9">
          <a:extLst>
            <a:ext uri="{FF2B5EF4-FFF2-40B4-BE49-F238E27FC236}">
              <a16:creationId xmlns:a16="http://schemas.microsoft.com/office/drawing/2014/main" id="{596F939D-408F-4E2E-B6D3-8333901F2C2B}"/>
            </a:ext>
          </a:extLst>
        </xdr:cNvPr>
        <xdr:cNvSpPr txBox="1"/>
      </xdr:nvSpPr>
      <xdr:spPr>
        <a:xfrm rot="439916">
          <a:off x="15451706" y="356480"/>
          <a:ext cx="2400555" cy="1527972"/>
        </a:xfrm>
        <a:prstGeom prst="rect">
          <a:avLst/>
        </a:prstGeom>
        <a:solidFill>
          <a:schemeClr val="accent6">
            <a:lumMod val="20000"/>
            <a:lumOff val="80000"/>
          </a:schemeClr>
        </a:solidFill>
        <a:ln w="9525" cmpd="sng">
          <a:solidFill>
            <a:schemeClr val="lt1">
              <a:shade val="50000"/>
            </a:schemeClr>
          </a:solidFill>
        </a:ln>
        <a:effectLst>
          <a:outerShdw blurRad="50800" dir="5400000" sx="106000" sy="106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 complete link budget</a:t>
          </a:r>
          <a:r>
            <a:rPr lang="en-US" sz="1100" baseline="0"/>
            <a:t> pages are for behind-the-scenes calculation only.  Values that you enter in coloured cells of EXPECTATIONS and COMMISSIONING tabs appear here, and results from here appear on those tabs.</a:t>
          </a:r>
          <a:endParaRPr lang="en-US" sz="1100"/>
        </a:p>
      </xdr:txBody>
    </xdr:sp>
    <xdr:clientData/>
  </xdr:twoCellAnchor>
  <xdr:twoCellAnchor>
    <xdr:from>
      <xdr:col>9</xdr:col>
      <xdr:colOff>2047875</xdr:colOff>
      <xdr:row>51</xdr:row>
      <xdr:rowOff>161925</xdr:rowOff>
    </xdr:from>
    <xdr:to>
      <xdr:col>9</xdr:col>
      <xdr:colOff>2867025</xdr:colOff>
      <xdr:row>59</xdr:row>
      <xdr:rowOff>123824</xdr:rowOff>
    </xdr:to>
    <xdr:sp macro="" textlink="">
      <xdr:nvSpPr>
        <xdr:cNvPr id="11" name="Arrow: Down 10">
          <a:extLst>
            <a:ext uri="{FF2B5EF4-FFF2-40B4-BE49-F238E27FC236}">
              <a16:creationId xmlns:a16="http://schemas.microsoft.com/office/drawing/2014/main" id="{91141D1A-5002-4B08-BEF2-DDF296C20010}"/>
            </a:ext>
          </a:extLst>
        </xdr:cNvPr>
        <xdr:cNvSpPr/>
      </xdr:nvSpPr>
      <xdr:spPr>
        <a:xfrm>
          <a:off x="13192125" y="97059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552450</xdr:colOff>
      <xdr:row>26</xdr:row>
      <xdr:rowOff>180975</xdr:rowOff>
    </xdr:from>
    <xdr:to>
      <xdr:col>10</xdr:col>
      <xdr:colOff>619125</xdr:colOff>
      <xdr:row>59</xdr:row>
      <xdr:rowOff>66675</xdr:rowOff>
    </xdr:to>
    <xdr:cxnSp macro="">
      <xdr:nvCxnSpPr>
        <xdr:cNvPr id="12" name="Straight Arrow Connector 11">
          <a:extLst>
            <a:ext uri="{FF2B5EF4-FFF2-40B4-BE49-F238E27FC236}">
              <a16:creationId xmlns:a16="http://schemas.microsoft.com/office/drawing/2014/main" id="{DAF7853F-E206-49E0-8ED2-4646DD70F2BE}"/>
            </a:ext>
          </a:extLst>
        </xdr:cNvPr>
        <xdr:cNvCxnSpPr/>
      </xdr:nvCxnSpPr>
      <xdr:spPr>
        <a:xfrm>
          <a:off x="11696700" y="5314950"/>
          <a:ext cx="2971800" cy="6200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2" name="Arrow: Down 1">
          <a:extLst>
            <a:ext uri="{FF2B5EF4-FFF2-40B4-BE49-F238E27FC236}">
              <a16:creationId xmlns:a16="http://schemas.microsoft.com/office/drawing/2014/main" id="{CED34ED0-0CC3-45D0-8C90-27DD7FED1DB6}"/>
            </a:ext>
          </a:extLst>
        </xdr:cNvPr>
        <xdr:cNvSpPr/>
      </xdr:nvSpPr>
      <xdr:spPr>
        <a:xfrm>
          <a:off x="2686050" y="1038225"/>
          <a:ext cx="819150" cy="1704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3" name="Arrow: Down 2">
          <a:extLst>
            <a:ext uri="{FF2B5EF4-FFF2-40B4-BE49-F238E27FC236}">
              <a16:creationId xmlns:a16="http://schemas.microsoft.com/office/drawing/2014/main" id="{C77B5C35-588B-458D-B8D4-0B80867C3639}"/>
            </a:ext>
          </a:extLst>
        </xdr:cNvPr>
        <xdr:cNvSpPr/>
      </xdr:nvSpPr>
      <xdr:spPr>
        <a:xfrm rot="10800000">
          <a:off x="80962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4" name="Straight Arrow Connector 3">
          <a:extLst>
            <a:ext uri="{FF2B5EF4-FFF2-40B4-BE49-F238E27FC236}">
              <a16:creationId xmlns:a16="http://schemas.microsoft.com/office/drawing/2014/main" id="{DCD12D6D-CD4C-4D36-AD86-0C0F1CDBF154}"/>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5" name="Arrow: Down 4">
          <a:extLst>
            <a:ext uri="{FF2B5EF4-FFF2-40B4-BE49-F238E27FC236}">
              <a16:creationId xmlns:a16="http://schemas.microsoft.com/office/drawing/2014/main" id="{9F7027C6-CF2F-4B56-B400-B990732F1071}"/>
            </a:ext>
          </a:extLst>
        </xdr:cNvPr>
        <xdr:cNvSpPr/>
      </xdr:nvSpPr>
      <xdr:spPr>
        <a:xfrm rot="10800000">
          <a:off x="133540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6" name="Arrow: Down 5">
          <a:extLst>
            <a:ext uri="{FF2B5EF4-FFF2-40B4-BE49-F238E27FC236}">
              <a16:creationId xmlns:a16="http://schemas.microsoft.com/office/drawing/2014/main" id="{710A1452-0899-4B77-9E96-507AF9CCC249}"/>
            </a:ext>
          </a:extLst>
        </xdr:cNvPr>
        <xdr:cNvSpPr/>
      </xdr:nvSpPr>
      <xdr:spPr>
        <a:xfrm>
          <a:off x="13182600" y="66960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7" name="Arrow: Down 6">
          <a:extLst>
            <a:ext uri="{FF2B5EF4-FFF2-40B4-BE49-F238E27FC236}">
              <a16:creationId xmlns:a16="http://schemas.microsoft.com/office/drawing/2014/main" id="{7B3C9A18-3BC1-4851-A676-097378825332}"/>
            </a:ext>
          </a:extLst>
        </xdr:cNvPr>
        <xdr:cNvSpPr/>
      </xdr:nvSpPr>
      <xdr:spPr>
        <a:xfrm>
          <a:off x="7972425" y="6705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8" name="Straight Arrow Connector 7">
          <a:extLst>
            <a:ext uri="{FF2B5EF4-FFF2-40B4-BE49-F238E27FC236}">
              <a16:creationId xmlns:a16="http://schemas.microsoft.com/office/drawing/2014/main" id="{D4997345-7694-4434-8007-BFF713343650}"/>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2" name="Arrow: Down 1">
          <a:extLst>
            <a:ext uri="{FF2B5EF4-FFF2-40B4-BE49-F238E27FC236}">
              <a16:creationId xmlns:a16="http://schemas.microsoft.com/office/drawing/2014/main" id="{313194EA-5E07-4999-B778-BF30680B439B}"/>
            </a:ext>
          </a:extLst>
        </xdr:cNvPr>
        <xdr:cNvSpPr/>
      </xdr:nvSpPr>
      <xdr:spPr>
        <a:xfrm>
          <a:off x="2686050" y="1038225"/>
          <a:ext cx="819150" cy="1704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3" name="Arrow: Down 2">
          <a:extLst>
            <a:ext uri="{FF2B5EF4-FFF2-40B4-BE49-F238E27FC236}">
              <a16:creationId xmlns:a16="http://schemas.microsoft.com/office/drawing/2014/main" id="{7246B69E-1187-4A7A-8203-56FF1367D353}"/>
            </a:ext>
          </a:extLst>
        </xdr:cNvPr>
        <xdr:cNvSpPr/>
      </xdr:nvSpPr>
      <xdr:spPr>
        <a:xfrm rot="10800000">
          <a:off x="80962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4" name="Straight Arrow Connector 3">
          <a:extLst>
            <a:ext uri="{FF2B5EF4-FFF2-40B4-BE49-F238E27FC236}">
              <a16:creationId xmlns:a16="http://schemas.microsoft.com/office/drawing/2014/main" id="{C016FD2D-4BE8-4E81-90F2-15A29A828209}"/>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5" name="Arrow: Down 4">
          <a:extLst>
            <a:ext uri="{FF2B5EF4-FFF2-40B4-BE49-F238E27FC236}">
              <a16:creationId xmlns:a16="http://schemas.microsoft.com/office/drawing/2014/main" id="{ECA5C1D8-9668-4CDD-88DB-4D9EF40D4D38}"/>
            </a:ext>
          </a:extLst>
        </xdr:cNvPr>
        <xdr:cNvSpPr/>
      </xdr:nvSpPr>
      <xdr:spPr>
        <a:xfrm rot="10800000">
          <a:off x="133540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6" name="Arrow: Down 5">
          <a:extLst>
            <a:ext uri="{FF2B5EF4-FFF2-40B4-BE49-F238E27FC236}">
              <a16:creationId xmlns:a16="http://schemas.microsoft.com/office/drawing/2014/main" id="{52A773C4-D475-40FA-B65C-F66E973A71E2}"/>
            </a:ext>
          </a:extLst>
        </xdr:cNvPr>
        <xdr:cNvSpPr/>
      </xdr:nvSpPr>
      <xdr:spPr>
        <a:xfrm>
          <a:off x="13182600" y="66960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7" name="Arrow: Down 6">
          <a:extLst>
            <a:ext uri="{FF2B5EF4-FFF2-40B4-BE49-F238E27FC236}">
              <a16:creationId xmlns:a16="http://schemas.microsoft.com/office/drawing/2014/main" id="{8677CBE8-D00C-471A-8030-95E716E9A5A0}"/>
            </a:ext>
          </a:extLst>
        </xdr:cNvPr>
        <xdr:cNvSpPr/>
      </xdr:nvSpPr>
      <xdr:spPr>
        <a:xfrm>
          <a:off x="7972425" y="6705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8" name="Straight Arrow Connector 7">
          <a:extLst>
            <a:ext uri="{FF2B5EF4-FFF2-40B4-BE49-F238E27FC236}">
              <a16:creationId xmlns:a16="http://schemas.microsoft.com/office/drawing/2014/main" id="{20DE346E-EA70-4C36-A749-A468480E91F3}"/>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2" name="Arrow: Down 1">
          <a:extLst>
            <a:ext uri="{FF2B5EF4-FFF2-40B4-BE49-F238E27FC236}">
              <a16:creationId xmlns:a16="http://schemas.microsoft.com/office/drawing/2014/main" id="{9612CFD7-A585-4817-9C28-942976D3D161}"/>
            </a:ext>
          </a:extLst>
        </xdr:cNvPr>
        <xdr:cNvSpPr/>
      </xdr:nvSpPr>
      <xdr:spPr>
        <a:xfrm>
          <a:off x="2686050" y="1038225"/>
          <a:ext cx="819150" cy="1704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3" name="Arrow: Down 2">
          <a:extLst>
            <a:ext uri="{FF2B5EF4-FFF2-40B4-BE49-F238E27FC236}">
              <a16:creationId xmlns:a16="http://schemas.microsoft.com/office/drawing/2014/main" id="{9D20770A-1BAA-4481-8687-1FAD77CC89C2}"/>
            </a:ext>
          </a:extLst>
        </xdr:cNvPr>
        <xdr:cNvSpPr/>
      </xdr:nvSpPr>
      <xdr:spPr>
        <a:xfrm rot="10800000">
          <a:off x="80962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4" name="Straight Arrow Connector 3">
          <a:extLst>
            <a:ext uri="{FF2B5EF4-FFF2-40B4-BE49-F238E27FC236}">
              <a16:creationId xmlns:a16="http://schemas.microsoft.com/office/drawing/2014/main" id="{6D50C00B-A471-4E2E-9C12-C1C1EDED3AAB}"/>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5" name="Arrow: Down 4">
          <a:extLst>
            <a:ext uri="{FF2B5EF4-FFF2-40B4-BE49-F238E27FC236}">
              <a16:creationId xmlns:a16="http://schemas.microsoft.com/office/drawing/2014/main" id="{D5C1EB8C-CC36-4B49-9717-4E7A6EDFBD0D}"/>
            </a:ext>
          </a:extLst>
        </xdr:cNvPr>
        <xdr:cNvSpPr/>
      </xdr:nvSpPr>
      <xdr:spPr>
        <a:xfrm rot="10800000">
          <a:off x="133540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6" name="Arrow: Down 5">
          <a:extLst>
            <a:ext uri="{FF2B5EF4-FFF2-40B4-BE49-F238E27FC236}">
              <a16:creationId xmlns:a16="http://schemas.microsoft.com/office/drawing/2014/main" id="{6A023C57-49EC-4851-86CA-EC3565E37432}"/>
            </a:ext>
          </a:extLst>
        </xdr:cNvPr>
        <xdr:cNvSpPr/>
      </xdr:nvSpPr>
      <xdr:spPr>
        <a:xfrm>
          <a:off x="13182600" y="66960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7" name="Arrow: Down 6">
          <a:extLst>
            <a:ext uri="{FF2B5EF4-FFF2-40B4-BE49-F238E27FC236}">
              <a16:creationId xmlns:a16="http://schemas.microsoft.com/office/drawing/2014/main" id="{56B9A2F6-AE8E-4D9B-923C-36F2414FD0BD}"/>
            </a:ext>
          </a:extLst>
        </xdr:cNvPr>
        <xdr:cNvSpPr/>
      </xdr:nvSpPr>
      <xdr:spPr>
        <a:xfrm>
          <a:off x="7972425" y="6705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8" name="Straight Arrow Connector 7">
          <a:extLst>
            <a:ext uri="{FF2B5EF4-FFF2-40B4-BE49-F238E27FC236}">
              <a16:creationId xmlns:a16="http://schemas.microsoft.com/office/drawing/2014/main" id="{E1EAEFA1-5305-4EE9-AA16-E5345B119D87}"/>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2" name="Arrow: Down 1">
          <a:extLst>
            <a:ext uri="{FF2B5EF4-FFF2-40B4-BE49-F238E27FC236}">
              <a16:creationId xmlns:a16="http://schemas.microsoft.com/office/drawing/2014/main" id="{B4ACCDD9-95CC-4398-8C00-B0F38D8D13E3}"/>
            </a:ext>
          </a:extLst>
        </xdr:cNvPr>
        <xdr:cNvSpPr/>
      </xdr:nvSpPr>
      <xdr:spPr>
        <a:xfrm>
          <a:off x="2686050" y="1038225"/>
          <a:ext cx="819150" cy="1704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3" name="Arrow: Down 2">
          <a:extLst>
            <a:ext uri="{FF2B5EF4-FFF2-40B4-BE49-F238E27FC236}">
              <a16:creationId xmlns:a16="http://schemas.microsoft.com/office/drawing/2014/main" id="{047E4BCD-0A17-4ECA-B7B9-F2C1D5DC7374}"/>
            </a:ext>
          </a:extLst>
        </xdr:cNvPr>
        <xdr:cNvSpPr/>
      </xdr:nvSpPr>
      <xdr:spPr>
        <a:xfrm rot="10800000">
          <a:off x="80962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4" name="Straight Arrow Connector 3">
          <a:extLst>
            <a:ext uri="{FF2B5EF4-FFF2-40B4-BE49-F238E27FC236}">
              <a16:creationId xmlns:a16="http://schemas.microsoft.com/office/drawing/2014/main" id="{7EDBB5B4-79A2-4B61-8211-84F995F53E1D}"/>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5" name="Arrow: Down 4">
          <a:extLst>
            <a:ext uri="{FF2B5EF4-FFF2-40B4-BE49-F238E27FC236}">
              <a16:creationId xmlns:a16="http://schemas.microsoft.com/office/drawing/2014/main" id="{AE3E3172-B360-4D32-A6D4-96A2A8934795}"/>
            </a:ext>
          </a:extLst>
        </xdr:cNvPr>
        <xdr:cNvSpPr/>
      </xdr:nvSpPr>
      <xdr:spPr>
        <a:xfrm rot="10800000">
          <a:off x="133540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6" name="Arrow: Down 5">
          <a:extLst>
            <a:ext uri="{FF2B5EF4-FFF2-40B4-BE49-F238E27FC236}">
              <a16:creationId xmlns:a16="http://schemas.microsoft.com/office/drawing/2014/main" id="{9D4F983E-86BB-46F1-BE8E-80A1F231AC76}"/>
            </a:ext>
          </a:extLst>
        </xdr:cNvPr>
        <xdr:cNvSpPr/>
      </xdr:nvSpPr>
      <xdr:spPr>
        <a:xfrm>
          <a:off x="13182600" y="66960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7" name="Arrow: Down 6">
          <a:extLst>
            <a:ext uri="{FF2B5EF4-FFF2-40B4-BE49-F238E27FC236}">
              <a16:creationId xmlns:a16="http://schemas.microsoft.com/office/drawing/2014/main" id="{0CA0FC7A-FBCF-4DF7-BC1E-1756B5C9DF06}"/>
            </a:ext>
          </a:extLst>
        </xdr:cNvPr>
        <xdr:cNvSpPr/>
      </xdr:nvSpPr>
      <xdr:spPr>
        <a:xfrm>
          <a:off x="7972425" y="6705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8" name="Straight Arrow Connector 7">
          <a:extLst>
            <a:ext uri="{FF2B5EF4-FFF2-40B4-BE49-F238E27FC236}">
              <a16:creationId xmlns:a16="http://schemas.microsoft.com/office/drawing/2014/main" id="{7B3345C8-03DB-4B59-81E4-A1D2BC9EC65D}"/>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2076450</xdr:colOff>
      <xdr:row>4</xdr:row>
      <xdr:rowOff>95250</xdr:rowOff>
    </xdr:from>
    <xdr:to>
      <xdr:col>1</xdr:col>
      <xdr:colOff>2895600</xdr:colOff>
      <xdr:row>13</xdr:row>
      <xdr:rowOff>85725</xdr:rowOff>
    </xdr:to>
    <xdr:sp macro="" textlink="">
      <xdr:nvSpPr>
        <xdr:cNvPr id="2" name="Arrow: Down 1">
          <a:extLst>
            <a:ext uri="{FF2B5EF4-FFF2-40B4-BE49-F238E27FC236}">
              <a16:creationId xmlns:a16="http://schemas.microsoft.com/office/drawing/2014/main" id="{B7B77FC8-895F-4007-98A7-FF4909E9A6DD}"/>
            </a:ext>
          </a:extLst>
        </xdr:cNvPr>
        <xdr:cNvSpPr/>
      </xdr:nvSpPr>
      <xdr:spPr>
        <a:xfrm>
          <a:off x="2686050" y="1038225"/>
          <a:ext cx="819150" cy="170497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2209800</xdr:colOff>
      <xdr:row>4</xdr:row>
      <xdr:rowOff>66675</xdr:rowOff>
    </xdr:from>
    <xdr:to>
      <xdr:col>6</xdr:col>
      <xdr:colOff>123825</xdr:colOff>
      <xdr:row>12</xdr:row>
      <xdr:rowOff>0</xdr:rowOff>
    </xdr:to>
    <xdr:sp macro="" textlink="">
      <xdr:nvSpPr>
        <xdr:cNvPr id="3" name="Arrow: Down 2">
          <a:extLst>
            <a:ext uri="{FF2B5EF4-FFF2-40B4-BE49-F238E27FC236}">
              <a16:creationId xmlns:a16="http://schemas.microsoft.com/office/drawing/2014/main" id="{F0FD2C0E-8958-40D7-832E-2277199B38EF}"/>
            </a:ext>
          </a:extLst>
        </xdr:cNvPr>
        <xdr:cNvSpPr/>
      </xdr:nvSpPr>
      <xdr:spPr>
        <a:xfrm rot="10800000">
          <a:off x="80962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885825</xdr:colOff>
      <xdr:row>11</xdr:row>
      <xdr:rowOff>123825</xdr:rowOff>
    </xdr:from>
    <xdr:to>
      <xdr:col>5</xdr:col>
      <xdr:colOff>47625</xdr:colOff>
      <xdr:row>13</xdr:row>
      <xdr:rowOff>95250</xdr:rowOff>
    </xdr:to>
    <xdr:cxnSp macro="">
      <xdr:nvCxnSpPr>
        <xdr:cNvPr id="4" name="Straight Arrow Connector 3">
          <a:extLst>
            <a:ext uri="{FF2B5EF4-FFF2-40B4-BE49-F238E27FC236}">
              <a16:creationId xmlns:a16="http://schemas.microsoft.com/office/drawing/2014/main" id="{A588F2DE-B4A6-4BF7-8E96-B5572BC8F4F3}"/>
            </a:ext>
          </a:extLst>
        </xdr:cNvPr>
        <xdr:cNvCxnSpPr/>
      </xdr:nvCxnSpPr>
      <xdr:spPr>
        <a:xfrm flipV="1">
          <a:off x="5324475" y="2400300"/>
          <a:ext cx="60960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2209800</xdr:colOff>
      <xdr:row>4</xdr:row>
      <xdr:rowOff>66675</xdr:rowOff>
    </xdr:from>
    <xdr:to>
      <xdr:col>10</xdr:col>
      <xdr:colOff>123825</xdr:colOff>
      <xdr:row>12</xdr:row>
      <xdr:rowOff>0</xdr:rowOff>
    </xdr:to>
    <xdr:sp macro="" textlink="">
      <xdr:nvSpPr>
        <xdr:cNvPr id="5" name="Arrow: Down 4">
          <a:extLst>
            <a:ext uri="{FF2B5EF4-FFF2-40B4-BE49-F238E27FC236}">
              <a16:creationId xmlns:a16="http://schemas.microsoft.com/office/drawing/2014/main" id="{132A3592-1E33-47CB-ADA7-BD6BFB6EA2B1}"/>
            </a:ext>
          </a:extLst>
        </xdr:cNvPr>
        <xdr:cNvSpPr/>
      </xdr:nvSpPr>
      <xdr:spPr>
        <a:xfrm rot="10800000">
          <a:off x="13354050" y="1009650"/>
          <a:ext cx="819150" cy="1457325"/>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2038350</xdr:colOff>
      <xdr:row>34</xdr:row>
      <xdr:rowOff>28575</xdr:rowOff>
    </xdr:from>
    <xdr:to>
      <xdr:col>9</xdr:col>
      <xdr:colOff>2857500</xdr:colOff>
      <xdr:row>41</xdr:row>
      <xdr:rowOff>180974</xdr:rowOff>
    </xdr:to>
    <xdr:sp macro="" textlink="">
      <xdr:nvSpPr>
        <xdr:cNvPr id="6" name="Arrow: Down 5">
          <a:extLst>
            <a:ext uri="{FF2B5EF4-FFF2-40B4-BE49-F238E27FC236}">
              <a16:creationId xmlns:a16="http://schemas.microsoft.com/office/drawing/2014/main" id="{459C00EB-E5F6-490E-88D2-23E9ED38ABB2}"/>
            </a:ext>
          </a:extLst>
        </xdr:cNvPr>
        <xdr:cNvSpPr/>
      </xdr:nvSpPr>
      <xdr:spPr>
        <a:xfrm>
          <a:off x="13182600" y="6696075"/>
          <a:ext cx="819150" cy="1485899"/>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2085975</xdr:colOff>
      <xdr:row>34</xdr:row>
      <xdr:rowOff>38101</xdr:rowOff>
    </xdr:from>
    <xdr:to>
      <xdr:col>6</xdr:col>
      <xdr:colOff>0</xdr:colOff>
      <xdr:row>39</xdr:row>
      <xdr:rowOff>133351</xdr:rowOff>
    </xdr:to>
    <xdr:sp macro="" textlink="">
      <xdr:nvSpPr>
        <xdr:cNvPr id="7" name="Arrow: Down 6">
          <a:extLst>
            <a:ext uri="{FF2B5EF4-FFF2-40B4-BE49-F238E27FC236}">
              <a16:creationId xmlns:a16="http://schemas.microsoft.com/office/drawing/2014/main" id="{E10D0AAA-F45C-4BD9-BD01-AE3460235416}"/>
            </a:ext>
          </a:extLst>
        </xdr:cNvPr>
        <xdr:cNvSpPr/>
      </xdr:nvSpPr>
      <xdr:spPr>
        <a:xfrm>
          <a:off x="7972425" y="6705601"/>
          <a:ext cx="819150" cy="1047750"/>
        </a:xfrm>
        <a:prstGeom prst="downArrow">
          <a:avLst/>
        </a:prstGeom>
        <a:solidFill>
          <a:schemeClr val="accent1">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838200</xdr:colOff>
      <xdr:row>27</xdr:row>
      <xdr:rowOff>95250</xdr:rowOff>
    </xdr:from>
    <xdr:to>
      <xdr:col>5</xdr:col>
      <xdr:colOff>9525</xdr:colOff>
      <xdr:row>32</xdr:row>
      <xdr:rowOff>76200</xdr:rowOff>
    </xdr:to>
    <xdr:cxnSp macro="">
      <xdr:nvCxnSpPr>
        <xdr:cNvPr id="8" name="Straight Arrow Connector 7">
          <a:extLst>
            <a:ext uri="{FF2B5EF4-FFF2-40B4-BE49-F238E27FC236}">
              <a16:creationId xmlns:a16="http://schemas.microsoft.com/office/drawing/2014/main" id="{F50DD5B4-1470-4FD8-8850-FC69838F7C77}"/>
            </a:ext>
          </a:extLst>
        </xdr:cNvPr>
        <xdr:cNvCxnSpPr/>
      </xdr:nvCxnSpPr>
      <xdr:spPr>
        <a:xfrm flipV="1">
          <a:off x="5276850" y="5419725"/>
          <a:ext cx="619125" cy="942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278C-BBCA-4A75-8782-7F4B2E2E8CB6}">
  <dimension ref="A1:G28"/>
  <sheetViews>
    <sheetView workbookViewId="0">
      <selection activeCell="K18" sqref="K18"/>
    </sheetView>
  </sheetViews>
  <sheetFormatPr defaultRowHeight="14.4" x14ac:dyDescent="0.3"/>
  <cols>
    <col min="1" max="1" width="13.109375" customWidth="1"/>
    <col min="2" max="2" width="11.33203125" style="6" customWidth="1"/>
  </cols>
  <sheetData>
    <row r="1" spans="1:3" ht="21" x14ac:dyDescent="0.4">
      <c r="A1" s="1" t="s">
        <v>62</v>
      </c>
    </row>
    <row r="3" spans="1:3" x14ac:dyDescent="0.3">
      <c r="A3" t="s">
        <v>147</v>
      </c>
      <c r="B3" t="s">
        <v>148</v>
      </c>
    </row>
    <row r="4" spans="1:3" x14ac:dyDescent="0.3">
      <c r="B4" t="s">
        <v>149</v>
      </c>
    </row>
    <row r="5" spans="1:3" x14ac:dyDescent="0.3">
      <c r="B5"/>
    </row>
    <row r="6" spans="1:3" x14ac:dyDescent="0.3">
      <c r="A6" t="s">
        <v>136</v>
      </c>
      <c r="B6" t="s">
        <v>150</v>
      </c>
    </row>
    <row r="7" spans="1:3" x14ac:dyDescent="0.3">
      <c r="B7" t="s">
        <v>161</v>
      </c>
    </row>
    <row r="8" spans="1:3" x14ac:dyDescent="0.3">
      <c r="B8" t="s">
        <v>160</v>
      </c>
    </row>
    <row r="10" spans="1:3" x14ac:dyDescent="0.3">
      <c r="B10" s="49" t="s">
        <v>14</v>
      </c>
    </row>
    <row r="11" spans="1:3" x14ac:dyDescent="0.3">
      <c r="B11" s="49"/>
    </row>
    <row r="12" spans="1:3" x14ac:dyDescent="0.3">
      <c r="B12" s="49" t="s">
        <v>61</v>
      </c>
    </row>
    <row r="14" spans="1:3" ht="25.8" x14ac:dyDescent="0.5">
      <c r="B14" s="114">
        <v>-2</v>
      </c>
      <c r="C14" s="115" t="s">
        <v>130</v>
      </c>
    </row>
    <row r="15" spans="1:3" ht="25.8" x14ac:dyDescent="0.5">
      <c r="B15" s="116">
        <v>-2</v>
      </c>
      <c r="C15" s="115" t="s">
        <v>129</v>
      </c>
    </row>
    <row r="16" spans="1:3" ht="25.8" x14ac:dyDescent="0.5">
      <c r="B16" s="117">
        <v>-2</v>
      </c>
      <c r="C16" s="115" t="s">
        <v>131</v>
      </c>
    </row>
    <row r="17" spans="2:7" ht="25.8" x14ac:dyDescent="0.5">
      <c r="B17" s="118">
        <v>-2</v>
      </c>
      <c r="C17" s="115" t="s">
        <v>132</v>
      </c>
    </row>
    <row r="18" spans="2:7" ht="29.25" customHeight="1" x14ac:dyDescent="0.3"/>
    <row r="19" spans="2:7" x14ac:dyDescent="0.3">
      <c r="B19" s="5" t="s">
        <v>9</v>
      </c>
      <c r="C19" s="4" t="s">
        <v>17</v>
      </c>
    </row>
    <row r="20" spans="2:7" x14ac:dyDescent="0.3">
      <c r="B20" s="7"/>
    </row>
    <row r="21" spans="2:7" x14ac:dyDescent="0.3">
      <c r="B21" s="46">
        <v>44</v>
      </c>
      <c r="C21" s="3" t="s">
        <v>59</v>
      </c>
      <c r="D21" s="3"/>
      <c r="E21" s="3"/>
      <c r="F21" s="3"/>
      <c r="G21" s="3"/>
    </row>
    <row r="22" spans="2:7" x14ac:dyDescent="0.3">
      <c r="B22" s="7"/>
    </row>
    <row r="23" spans="2:7" x14ac:dyDescent="0.3">
      <c r="B23" s="47">
        <v>44</v>
      </c>
      <c r="C23" s="48" t="s">
        <v>60</v>
      </c>
      <c r="D23" s="48"/>
      <c r="E23" s="48"/>
      <c r="F23" s="48"/>
      <c r="G23" s="48"/>
    </row>
    <row r="25" spans="2:7" x14ac:dyDescent="0.3">
      <c r="B25" s="50" t="s">
        <v>44</v>
      </c>
      <c r="C25" t="s">
        <v>29</v>
      </c>
    </row>
    <row r="26" spans="2:7" x14ac:dyDescent="0.3">
      <c r="B26" s="6" t="s">
        <v>26</v>
      </c>
      <c r="C26" t="s">
        <v>63</v>
      </c>
    </row>
    <row r="27" spans="2:7" x14ac:dyDescent="0.3">
      <c r="B27" s="6" t="s">
        <v>27</v>
      </c>
      <c r="C27" t="s">
        <v>64</v>
      </c>
    </row>
    <row r="28" spans="2:7" x14ac:dyDescent="0.3">
      <c r="B28" s="6" t="s">
        <v>28</v>
      </c>
      <c r="C28"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81B0E-D9E1-45D5-B226-7D34F5A6954C}">
  <dimension ref="A1:O23"/>
  <sheetViews>
    <sheetView tabSelected="1" topLeftCell="A2" zoomScaleNormal="100" workbookViewId="0">
      <selection activeCell="I13" sqref="I13"/>
    </sheetView>
  </sheetViews>
  <sheetFormatPr defaultRowHeight="14.4" x14ac:dyDescent="0.3"/>
  <cols>
    <col min="1" max="1" width="12.5546875" customWidth="1"/>
    <col min="4" max="4" width="17.44140625" customWidth="1"/>
    <col min="5" max="6" width="12.6640625" customWidth="1"/>
    <col min="7" max="7" width="17.44140625" customWidth="1"/>
    <col min="8" max="9" width="12.88671875" customWidth="1"/>
    <col min="10" max="10" width="17.44140625" customWidth="1"/>
    <col min="11" max="11" width="12.88671875" customWidth="1"/>
    <col min="15" max="15" width="46.33203125" style="57" customWidth="1"/>
  </cols>
  <sheetData>
    <row r="1" spans="1:15" ht="23.4" x14ac:dyDescent="0.3">
      <c r="A1" s="71" t="s">
        <v>135</v>
      </c>
    </row>
    <row r="2" spans="1:15" ht="23.4" x14ac:dyDescent="0.3">
      <c r="A2" s="71"/>
    </row>
    <row r="3" spans="1:15" x14ac:dyDescent="0.3">
      <c r="A3" s="89" t="s">
        <v>136</v>
      </c>
    </row>
    <row r="4" spans="1:15" x14ac:dyDescent="0.3">
      <c r="A4" t="s">
        <v>137</v>
      </c>
      <c r="K4" s="79">
        <v>-2</v>
      </c>
      <c r="L4" t="s">
        <v>130</v>
      </c>
    </row>
    <row r="5" spans="1:15" ht="15" customHeight="1" x14ac:dyDescent="0.3">
      <c r="A5" s="150" t="s">
        <v>138</v>
      </c>
      <c r="B5" s="150"/>
      <c r="C5" s="150"/>
      <c r="D5" s="150"/>
      <c r="E5" s="150"/>
      <c r="F5" s="150"/>
      <c r="G5" s="150"/>
      <c r="H5" s="150"/>
      <c r="I5" s="150"/>
      <c r="J5" s="150"/>
      <c r="K5" s="81">
        <v>-2</v>
      </c>
      <c r="L5" t="s">
        <v>129</v>
      </c>
    </row>
    <row r="6" spans="1:15" x14ac:dyDescent="0.3">
      <c r="A6" s="150"/>
      <c r="B6" s="150"/>
      <c r="C6" s="150"/>
      <c r="D6" s="150"/>
      <c r="E6" s="150"/>
      <c r="F6" s="150"/>
      <c r="G6" s="150"/>
      <c r="H6" s="150"/>
      <c r="I6" s="150"/>
      <c r="J6" s="150"/>
      <c r="K6" s="82">
        <v>-2</v>
      </c>
      <c r="L6" t="s">
        <v>131</v>
      </c>
    </row>
    <row r="7" spans="1:15" x14ac:dyDescent="0.3">
      <c r="A7" t="s">
        <v>139</v>
      </c>
      <c r="K7" s="80">
        <v>-2</v>
      </c>
      <c r="L7" t="s">
        <v>132</v>
      </c>
    </row>
    <row r="8" spans="1:15" x14ac:dyDescent="0.3">
      <c r="A8" t="s">
        <v>140</v>
      </c>
    </row>
    <row r="9" spans="1:15" x14ac:dyDescent="0.3">
      <c r="O9" s="78" t="s">
        <v>125</v>
      </c>
    </row>
    <row r="10" spans="1:15" x14ac:dyDescent="0.3">
      <c r="O10" s="150" t="s">
        <v>126</v>
      </c>
    </row>
    <row r="11" spans="1:15" s="74" customFormat="1" ht="30" customHeight="1" x14ac:dyDescent="0.3">
      <c r="C11" s="152" t="s">
        <v>115</v>
      </c>
      <c r="D11" s="153"/>
      <c r="E11" s="154"/>
      <c r="F11" s="152" t="s">
        <v>144</v>
      </c>
      <c r="G11" s="153"/>
      <c r="H11" s="154"/>
      <c r="I11" s="152" t="s">
        <v>146</v>
      </c>
      <c r="J11" s="153"/>
      <c r="K11" s="154"/>
      <c r="L11" s="151" t="s">
        <v>145</v>
      </c>
      <c r="M11" s="151"/>
      <c r="O11" s="150"/>
    </row>
    <row r="12" spans="1:15" ht="28.8" x14ac:dyDescent="0.3">
      <c r="A12" s="48" t="s">
        <v>111</v>
      </c>
      <c r="B12" s="77" t="s">
        <v>112</v>
      </c>
      <c r="C12" s="86" t="s">
        <v>194</v>
      </c>
      <c r="D12" s="86" t="s">
        <v>113</v>
      </c>
      <c r="E12" s="87" t="s">
        <v>142</v>
      </c>
      <c r="F12" s="87" t="s">
        <v>194</v>
      </c>
      <c r="G12" s="86" t="s">
        <v>124</v>
      </c>
      <c r="H12" s="87" t="s">
        <v>142</v>
      </c>
      <c r="I12" s="87" t="s">
        <v>194</v>
      </c>
      <c r="J12" s="86" t="s">
        <v>124</v>
      </c>
      <c r="K12" s="87" t="s">
        <v>142</v>
      </c>
      <c r="L12" s="86" t="s">
        <v>128</v>
      </c>
      <c r="M12" s="87" t="s">
        <v>114</v>
      </c>
      <c r="O12" s="150"/>
    </row>
    <row r="13" spans="1:15" x14ac:dyDescent="0.3">
      <c r="A13" s="83" t="s">
        <v>110</v>
      </c>
      <c r="B13" s="83" t="s">
        <v>121</v>
      </c>
      <c r="C13" s="131"/>
      <c r="D13" s="85"/>
      <c r="E13" s="85"/>
      <c r="F13" s="132" t="str">
        <f>IF(C13="","",C13)</f>
        <v/>
      </c>
      <c r="G13" s="84" t="str">
        <f t="shared" ref="G13:G18" si="0">IF(D13="","",D13+$C$22)</f>
        <v/>
      </c>
      <c r="H13" s="84" t="str">
        <f t="shared" ref="H13:H18" si="1">IF(E13="","",E13+$C$23)</f>
        <v/>
      </c>
      <c r="I13" s="133"/>
      <c r="J13" s="88"/>
      <c r="K13" s="88"/>
      <c r="L13" s="84" t="str">
        <f>IF(J13="","",J13-G13)</f>
        <v/>
      </c>
      <c r="M13" s="84" t="str">
        <f>IF(K13="","",K13-E13)</f>
        <v/>
      </c>
      <c r="O13" s="150"/>
    </row>
    <row r="14" spans="1:15" x14ac:dyDescent="0.3">
      <c r="A14" s="83" t="s">
        <v>110</v>
      </c>
      <c r="B14" s="83" t="s">
        <v>122</v>
      </c>
      <c r="C14" s="131"/>
      <c r="D14" s="85"/>
      <c r="E14" s="85"/>
      <c r="F14" s="132" t="str">
        <f t="shared" ref="F14:F18" si="2">IF(C14="","",C14)</f>
        <v/>
      </c>
      <c r="G14" s="84" t="str">
        <f t="shared" si="0"/>
        <v/>
      </c>
      <c r="H14" s="84" t="str">
        <f t="shared" si="1"/>
        <v/>
      </c>
      <c r="I14" s="133"/>
      <c r="J14" s="88"/>
      <c r="K14" s="88"/>
      <c r="L14" s="84" t="str">
        <f t="shared" ref="L14:L18" si="3">IF(J14="","",J14-G14)</f>
        <v/>
      </c>
      <c r="M14" s="84" t="str">
        <f t="shared" ref="M14:M18" si="4">IF(K14="","",K14-E14)</f>
        <v/>
      </c>
      <c r="O14" s="150"/>
    </row>
    <row r="15" spans="1:15" ht="15" customHeight="1" x14ac:dyDescent="0.3">
      <c r="A15" s="83" t="s">
        <v>110</v>
      </c>
      <c r="B15" s="83" t="s">
        <v>123</v>
      </c>
      <c r="C15" s="131"/>
      <c r="D15" s="85"/>
      <c r="E15" s="85"/>
      <c r="F15" s="132" t="str">
        <f t="shared" si="2"/>
        <v/>
      </c>
      <c r="G15" s="84" t="str">
        <f t="shared" si="0"/>
        <v/>
      </c>
      <c r="H15" s="84" t="str">
        <f t="shared" si="1"/>
        <v/>
      </c>
      <c r="I15" s="133"/>
      <c r="J15" s="88"/>
      <c r="K15" s="88"/>
      <c r="L15" s="84" t="str">
        <f t="shared" si="3"/>
        <v/>
      </c>
      <c r="M15" s="84" t="str">
        <f t="shared" si="4"/>
        <v/>
      </c>
      <c r="O15" s="150" t="s">
        <v>127</v>
      </c>
    </row>
    <row r="16" spans="1:15" x14ac:dyDescent="0.3">
      <c r="A16" s="83" t="s">
        <v>120</v>
      </c>
      <c r="B16" s="83" t="s">
        <v>121</v>
      </c>
      <c r="C16" s="131"/>
      <c r="D16" s="85"/>
      <c r="E16" s="85"/>
      <c r="F16" s="132" t="str">
        <f t="shared" si="2"/>
        <v/>
      </c>
      <c r="G16" s="84" t="str">
        <f t="shared" si="0"/>
        <v/>
      </c>
      <c r="H16" s="84" t="str">
        <f t="shared" si="1"/>
        <v/>
      </c>
      <c r="I16" s="133"/>
      <c r="J16" s="88"/>
      <c r="K16" s="88"/>
      <c r="L16" s="84" t="str">
        <f t="shared" si="3"/>
        <v/>
      </c>
      <c r="M16" s="84" t="str">
        <f t="shared" si="4"/>
        <v/>
      </c>
      <c r="O16" s="150"/>
    </row>
    <row r="17" spans="1:15" x14ac:dyDescent="0.3">
      <c r="A17" s="83" t="s">
        <v>120</v>
      </c>
      <c r="B17" s="83" t="s">
        <v>122</v>
      </c>
      <c r="C17" s="131"/>
      <c r="D17" s="85"/>
      <c r="E17" s="85"/>
      <c r="F17" s="132" t="str">
        <f t="shared" si="2"/>
        <v/>
      </c>
      <c r="G17" s="84" t="str">
        <f t="shared" si="0"/>
        <v/>
      </c>
      <c r="H17" s="84" t="str">
        <f t="shared" si="1"/>
        <v/>
      </c>
      <c r="I17" s="133"/>
      <c r="J17" s="88"/>
      <c r="K17" s="88"/>
      <c r="L17" s="84" t="str">
        <f t="shared" si="3"/>
        <v/>
      </c>
      <c r="M17" s="84" t="str">
        <f t="shared" si="4"/>
        <v/>
      </c>
      <c r="O17" s="150"/>
    </row>
    <row r="18" spans="1:15" x14ac:dyDescent="0.3">
      <c r="A18" s="83" t="s">
        <v>120</v>
      </c>
      <c r="B18" s="83" t="s">
        <v>123</v>
      </c>
      <c r="C18" s="131"/>
      <c r="D18" s="85"/>
      <c r="E18" s="85"/>
      <c r="F18" s="132" t="str">
        <f t="shared" si="2"/>
        <v/>
      </c>
      <c r="G18" s="84" t="str">
        <f t="shared" si="0"/>
        <v/>
      </c>
      <c r="H18" s="84" t="str">
        <f t="shared" si="1"/>
        <v/>
      </c>
      <c r="I18" s="133"/>
      <c r="J18" s="88"/>
      <c r="K18" s="88"/>
      <c r="L18" s="84" t="str">
        <f t="shared" si="3"/>
        <v/>
      </c>
      <c r="M18" s="84" t="str">
        <f t="shared" si="4"/>
        <v/>
      </c>
      <c r="O18" s="150"/>
    </row>
    <row r="22" spans="1:15" x14ac:dyDescent="0.3">
      <c r="C22" s="107">
        <v>15</v>
      </c>
      <c r="D22" t="s">
        <v>134</v>
      </c>
    </row>
    <row r="23" spans="1:15" x14ac:dyDescent="0.3">
      <c r="C23" s="108">
        <v>0</v>
      </c>
      <c r="D23" t="s">
        <v>133</v>
      </c>
    </row>
  </sheetData>
  <mergeCells count="7">
    <mergeCell ref="A5:J6"/>
    <mergeCell ref="O10:O14"/>
    <mergeCell ref="O15:O18"/>
    <mergeCell ref="L11:M11"/>
    <mergeCell ref="C11:E11"/>
    <mergeCell ref="F11:H11"/>
    <mergeCell ref="I11:K11"/>
  </mergeCells>
  <conditionalFormatting sqref="L13:M18">
    <cfRule type="cellIs" dxfId="0" priority="1" operator="lessThan">
      <formula>-2.5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1E2C-C3C2-47BE-8115-5E8A21AD3BBA}">
  <dimension ref="A1:N87"/>
  <sheetViews>
    <sheetView topLeftCell="A15" workbookViewId="0">
      <selection activeCell="C16" sqref="C16"/>
    </sheetView>
  </sheetViews>
  <sheetFormatPr defaultColWidth="9.109375" defaultRowHeight="14.4" x14ac:dyDescent="0.3"/>
  <cols>
    <col min="1" max="1" width="9.109375" style="9"/>
    <col min="2" max="2" width="37.88671875" style="57" customWidth="1"/>
    <col min="3" max="5" width="10.5546875" style="9" customWidth="1"/>
    <col min="6" max="6" width="9.88671875" style="9" bestFit="1" customWidth="1"/>
    <col min="7" max="7" width="11.44140625" style="9" customWidth="1"/>
    <col min="8" max="8" width="49.109375" style="9" customWidth="1"/>
    <col min="9" max="13" width="9.109375" style="9"/>
    <col min="14" max="14" width="55.5546875" style="57" customWidth="1"/>
    <col min="15" max="16384" width="9.109375" style="9"/>
  </cols>
  <sheetData>
    <row r="1" spans="1:14" ht="23.4" x14ac:dyDescent="0.3">
      <c r="A1" s="71" t="s">
        <v>105</v>
      </c>
    </row>
    <row r="2" spans="1:14" ht="18" x14ac:dyDescent="0.3">
      <c r="A2" s="136" t="s">
        <v>205</v>
      </c>
    </row>
    <row r="3" spans="1:14" x14ac:dyDescent="0.3">
      <c r="G3" s="122" t="s">
        <v>117</v>
      </c>
      <c r="H3" s="72" t="s">
        <v>74</v>
      </c>
    </row>
    <row r="4" spans="1:14" x14ac:dyDescent="0.3">
      <c r="B4" s="63" t="s">
        <v>185</v>
      </c>
      <c r="C4" s="98">
        <v>1</v>
      </c>
      <c r="D4" s="124"/>
      <c r="E4" s="125"/>
      <c r="F4" s="125"/>
      <c r="G4" s="64" t="s">
        <v>118</v>
      </c>
      <c r="H4" s="64" t="s">
        <v>192</v>
      </c>
    </row>
    <row r="5" spans="1:14" x14ac:dyDescent="0.3">
      <c r="N5" s="58"/>
    </row>
    <row r="6" spans="1:14" ht="21" x14ac:dyDescent="0.3">
      <c r="A6" s="99" t="s">
        <v>73</v>
      </c>
    </row>
    <row r="7" spans="1:14" x14ac:dyDescent="0.3">
      <c r="C7" s="67" t="s">
        <v>75</v>
      </c>
      <c r="D7" s="68" t="s">
        <v>76</v>
      </c>
      <c r="E7" s="68" t="s">
        <v>77</v>
      </c>
      <c r="F7" s="73" t="s">
        <v>4</v>
      </c>
      <c r="G7" s="122" t="s">
        <v>117</v>
      </c>
      <c r="H7" s="72" t="s">
        <v>74</v>
      </c>
    </row>
    <row r="8" spans="1:14" x14ac:dyDescent="0.3">
      <c r="B8" s="63" t="s">
        <v>83</v>
      </c>
      <c r="C8" s="98">
        <v>20</v>
      </c>
      <c r="D8" s="90">
        <v>15</v>
      </c>
      <c r="E8" s="90">
        <v>20</v>
      </c>
      <c r="F8" s="64" t="s">
        <v>11</v>
      </c>
      <c r="G8" s="64" t="s">
        <v>118</v>
      </c>
      <c r="H8" s="64"/>
    </row>
    <row r="10" spans="1:14" ht="15.6" x14ac:dyDescent="0.3">
      <c r="B10" s="119" t="s">
        <v>171</v>
      </c>
    </row>
    <row r="11" spans="1:14" ht="72" x14ac:dyDescent="0.3">
      <c r="B11" s="63" t="s">
        <v>79</v>
      </c>
      <c r="C11" s="92">
        <v>-50</v>
      </c>
      <c r="D11" s="93">
        <v>-85</v>
      </c>
      <c r="E11" s="93">
        <v>-90</v>
      </c>
      <c r="F11" s="64" t="s">
        <v>8</v>
      </c>
      <c r="G11" s="63" t="s">
        <v>119</v>
      </c>
      <c r="H11" s="63" t="s">
        <v>78</v>
      </c>
      <c r="N11" s="56"/>
    </row>
    <row r="12" spans="1:14" x14ac:dyDescent="0.3">
      <c r="B12" s="111"/>
      <c r="C12" s="112"/>
      <c r="D12" s="112"/>
      <c r="E12" s="112"/>
      <c r="F12" s="112"/>
      <c r="G12" s="112"/>
      <c r="H12" s="112"/>
      <c r="N12" s="56"/>
    </row>
    <row r="13" spans="1:14" ht="15.6" x14ac:dyDescent="0.3">
      <c r="B13" s="120" t="s">
        <v>172</v>
      </c>
      <c r="C13" s="113"/>
      <c r="D13" s="113"/>
      <c r="E13" s="113"/>
      <c r="F13" s="113"/>
      <c r="G13" s="113"/>
      <c r="H13" s="113"/>
      <c r="N13" s="56"/>
    </row>
    <row r="14" spans="1:14" ht="43.2" x14ac:dyDescent="0.3">
      <c r="B14" s="63" t="s">
        <v>93</v>
      </c>
      <c r="C14" s="76">
        <f>'Bellus 1900'!C17</f>
        <v>-47</v>
      </c>
      <c r="D14" s="76">
        <f>'Bellus 2100'!C17</f>
        <v>-20</v>
      </c>
      <c r="E14" s="76">
        <f>'Bellus 2600'!C17</f>
        <v>-16</v>
      </c>
      <c r="F14" s="64" t="s">
        <v>7</v>
      </c>
      <c r="G14" s="64" t="s">
        <v>175</v>
      </c>
      <c r="H14" s="63" t="s">
        <v>106</v>
      </c>
    </row>
    <row r="15" spans="1:14" ht="43.2" x14ac:dyDescent="0.3">
      <c r="B15" s="63" t="s">
        <v>167</v>
      </c>
      <c r="C15" s="92">
        <v>-40</v>
      </c>
      <c r="D15" s="93">
        <v>-23</v>
      </c>
      <c r="E15" s="93">
        <v>-20</v>
      </c>
      <c r="F15" s="64" t="s">
        <v>7</v>
      </c>
      <c r="G15" s="63" t="s">
        <v>119</v>
      </c>
      <c r="H15" s="63" t="s">
        <v>206</v>
      </c>
    </row>
    <row r="17" spans="2:8" ht="15.6" x14ac:dyDescent="0.3">
      <c r="B17" s="119" t="s">
        <v>173</v>
      </c>
    </row>
    <row r="18" spans="2:8" x14ac:dyDescent="0.3">
      <c r="B18" s="63" t="s">
        <v>202</v>
      </c>
      <c r="C18" s="135" t="s">
        <v>203</v>
      </c>
      <c r="D18" s="135" t="str">
        <f t="shared" ref="D18:E20" si="0">C18</f>
        <v>OFF</v>
      </c>
      <c r="E18" s="135" t="str">
        <f t="shared" si="0"/>
        <v>OFF</v>
      </c>
      <c r="F18" s="64"/>
      <c r="G18" s="64" t="s">
        <v>118</v>
      </c>
      <c r="H18" s="64" t="s">
        <v>204</v>
      </c>
    </row>
    <row r="19" spans="2:8" x14ac:dyDescent="0.3">
      <c r="B19" s="63" t="s">
        <v>208</v>
      </c>
      <c r="C19" s="138">
        <v>90</v>
      </c>
      <c r="D19" s="138">
        <f t="shared" si="0"/>
        <v>90</v>
      </c>
      <c r="E19" s="138">
        <f t="shared" si="0"/>
        <v>90</v>
      </c>
      <c r="F19" s="64" t="s">
        <v>7</v>
      </c>
      <c r="G19" s="64" t="s">
        <v>118</v>
      </c>
      <c r="H19" s="64" t="s">
        <v>210</v>
      </c>
    </row>
    <row r="20" spans="2:8" x14ac:dyDescent="0.3">
      <c r="B20" s="63" t="s">
        <v>209</v>
      </c>
      <c r="C20" s="138">
        <v>90</v>
      </c>
      <c r="D20" s="138">
        <f t="shared" si="0"/>
        <v>90</v>
      </c>
      <c r="E20" s="138">
        <f t="shared" si="0"/>
        <v>90</v>
      </c>
      <c r="F20" s="64" t="s">
        <v>7</v>
      </c>
      <c r="G20" s="64" t="s">
        <v>118</v>
      </c>
      <c r="H20" s="64" t="s">
        <v>210</v>
      </c>
    </row>
    <row r="21" spans="2:8" x14ac:dyDescent="0.3">
      <c r="B21" s="63" t="s">
        <v>213</v>
      </c>
      <c r="C21" s="139">
        <f>'Bellus 1900'!C23</f>
        <v>72</v>
      </c>
      <c r="D21" s="139"/>
      <c r="E21" s="139"/>
      <c r="F21" s="64"/>
      <c r="G21" s="64"/>
      <c r="H21" s="64"/>
    </row>
    <row r="22" spans="2:8" x14ac:dyDescent="0.3">
      <c r="B22" s="63" t="s">
        <v>212</v>
      </c>
      <c r="C22" s="139">
        <f>C21</f>
        <v>72</v>
      </c>
      <c r="D22" s="139"/>
      <c r="E22" s="139"/>
      <c r="F22" s="64"/>
      <c r="G22" s="64"/>
      <c r="H22" s="64"/>
    </row>
    <row r="23" spans="2:8" x14ac:dyDescent="0.3">
      <c r="B23" s="63" t="s">
        <v>214</v>
      </c>
      <c r="C23" s="92">
        <f>C21</f>
        <v>72</v>
      </c>
      <c r="D23" s="93"/>
      <c r="E23" s="93"/>
      <c r="F23" s="64" t="s">
        <v>7</v>
      </c>
      <c r="G23" s="64" t="s">
        <v>216</v>
      </c>
      <c r="H23" s="64"/>
    </row>
    <row r="24" spans="2:8" x14ac:dyDescent="0.3">
      <c r="B24" s="63" t="s">
        <v>215</v>
      </c>
      <c r="C24" s="92">
        <f>C22</f>
        <v>72</v>
      </c>
      <c r="D24" s="93"/>
      <c r="E24" s="93"/>
      <c r="F24" s="64" t="s">
        <v>7</v>
      </c>
      <c r="G24" s="64" t="s">
        <v>216</v>
      </c>
      <c r="H24" s="64"/>
    </row>
    <row r="25" spans="2:8" x14ac:dyDescent="0.3">
      <c r="B25" s="63" t="s">
        <v>200</v>
      </c>
      <c r="C25" s="91">
        <v>13</v>
      </c>
      <c r="D25" s="91">
        <f>C25</f>
        <v>13</v>
      </c>
      <c r="E25" s="91">
        <f>D25</f>
        <v>13</v>
      </c>
      <c r="F25" s="64" t="s">
        <v>6</v>
      </c>
      <c r="G25" s="64" t="s">
        <v>118</v>
      </c>
      <c r="H25" s="64" t="s">
        <v>163</v>
      </c>
    </row>
    <row r="26" spans="2:8" x14ac:dyDescent="0.3">
      <c r="B26" s="63" t="s">
        <v>201</v>
      </c>
      <c r="C26" s="134">
        <v>15</v>
      </c>
      <c r="D26" s="134">
        <f>C26</f>
        <v>15</v>
      </c>
      <c r="E26" s="134">
        <f>D26</f>
        <v>15</v>
      </c>
      <c r="F26" s="64" t="s">
        <v>6</v>
      </c>
      <c r="G26" s="64" t="s">
        <v>118</v>
      </c>
      <c r="H26" s="64" t="s">
        <v>163</v>
      </c>
    </row>
    <row r="28" spans="2:8" ht="15.6" x14ac:dyDescent="0.3">
      <c r="B28" s="119" t="s">
        <v>174</v>
      </c>
    </row>
    <row r="29" spans="2:8" x14ac:dyDescent="0.3">
      <c r="B29" s="63" t="s">
        <v>236</v>
      </c>
      <c r="C29" s="91">
        <v>27</v>
      </c>
      <c r="D29" s="91">
        <f>C29</f>
        <v>27</v>
      </c>
      <c r="E29" s="91">
        <f>D29</f>
        <v>27</v>
      </c>
      <c r="F29" s="64" t="s">
        <v>6</v>
      </c>
      <c r="G29" s="64" t="s">
        <v>118</v>
      </c>
      <c r="H29" s="63" t="s">
        <v>237</v>
      </c>
    </row>
    <row r="30" spans="2:8" x14ac:dyDescent="0.3">
      <c r="B30" s="63" t="s">
        <v>238</v>
      </c>
      <c r="C30" s="160">
        <v>36</v>
      </c>
      <c r="D30" s="160">
        <f>C30</f>
        <v>36</v>
      </c>
      <c r="E30" s="160">
        <f>D30</f>
        <v>36</v>
      </c>
      <c r="F30" s="64" t="s">
        <v>7</v>
      </c>
      <c r="G30" s="64" t="s">
        <v>118</v>
      </c>
      <c r="H30" s="63" t="s">
        <v>109</v>
      </c>
    </row>
    <row r="31" spans="2:8" ht="28.8" x14ac:dyDescent="0.3">
      <c r="B31" s="63" t="s">
        <v>96</v>
      </c>
      <c r="C31" s="69">
        <f>'Bellus 1900'!G6</f>
        <v>7.0161160464450774</v>
      </c>
      <c r="D31" s="69">
        <f>'Bellus 2100'!G6</f>
        <v>2.0205999132796251</v>
      </c>
      <c r="E31" s="69">
        <f>'Bellus 2600'!G6</f>
        <v>2.0205999132796251</v>
      </c>
      <c r="F31" s="64" t="s">
        <v>7</v>
      </c>
      <c r="G31" s="64" t="s">
        <v>175</v>
      </c>
      <c r="H31" s="63" t="s">
        <v>107</v>
      </c>
    </row>
    <row r="32" spans="2:8" ht="28.8" x14ac:dyDescent="0.3">
      <c r="B32" s="63" t="s">
        <v>102</v>
      </c>
      <c r="C32" s="92">
        <v>7</v>
      </c>
      <c r="D32" s="93">
        <v>2</v>
      </c>
      <c r="E32" s="93">
        <v>2</v>
      </c>
      <c r="F32" s="64" t="s">
        <v>7</v>
      </c>
      <c r="G32" s="63" t="s">
        <v>119</v>
      </c>
      <c r="H32" s="64" t="s">
        <v>176</v>
      </c>
    </row>
    <row r="34" spans="2:8" ht="15.6" x14ac:dyDescent="0.3">
      <c r="B34" s="119" t="s">
        <v>178</v>
      </c>
    </row>
    <row r="35" spans="2:8" ht="28.8" x14ac:dyDescent="0.3">
      <c r="B35" s="63" t="s">
        <v>169</v>
      </c>
      <c r="C35" s="76">
        <f>'Bellus 1900'!K23</f>
        <v>-67.777027637001893</v>
      </c>
      <c r="D35" s="76">
        <f>'Bellus 2100'!K23</f>
        <v>-72.781511503836441</v>
      </c>
      <c r="E35" s="76">
        <f>'Bellus 2600'!K23</f>
        <v>-70.781511503836441</v>
      </c>
      <c r="F35" s="64" t="s">
        <v>6</v>
      </c>
      <c r="G35" s="64" t="s">
        <v>175</v>
      </c>
      <c r="H35" s="63"/>
    </row>
    <row r="36" spans="2:8" ht="28.8" x14ac:dyDescent="0.3">
      <c r="B36" s="63" t="s">
        <v>177</v>
      </c>
      <c r="C36" s="92"/>
      <c r="D36" s="93"/>
      <c r="E36" s="93"/>
      <c r="F36" s="64" t="s">
        <v>6</v>
      </c>
      <c r="G36" s="63" t="s">
        <v>119</v>
      </c>
      <c r="H36" s="63" t="s">
        <v>170</v>
      </c>
    </row>
    <row r="37" spans="2:8" x14ac:dyDescent="0.3">
      <c r="B37" s="65"/>
      <c r="C37" s="97"/>
      <c r="D37" s="97"/>
      <c r="E37" s="97"/>
      <c r="F37" s="66"/>
      <c r="G37" s="65"/>
      <c r="H37" s="66"/>
    </row>
    <row r="38" spans="2:8" ht="26.25" customHeight="1" x14ac:dyDescent="0.3">
      <c r="B38" s="63" t="s">
        <v>164</v>
      </c>
      <c r="C38" s="159">
        <f>10*LOG(10^('Bellus 1900'!K15/10)+10^('Bellus 2100'!K15/10)+10^('Bellus 2600'!K15/10))</f>
        <v>20.369487755123266</v>
      </c>
      <c r="D38" s="109" t="s">
        <v>165</v>
      </c>
      <c r="E38" s="158"/>
      <c r="F38" s="63" t="s">
        <v>166</v>
      </c>
      <c r="G38" s="63" t="s">
        <v>119</v>
      </c>
      <c r="H38" s="63" t="s">
        <v>168</v>
      </c>
    </row>
    <row r="39" spans="2:8" x14ac:dyDescent="0.3">
      <c r="B39" s="65"/>
      <c r="C39" s="66"/>
      <c r="D39" s="66"/>
      <c r="E39" s="66"/>
      <c r="F39" s="66"/>
      <c r="G39" s="66"/>
      <c r="H39" s="66"/>
    </row>
    <row r="40" spans="2:8" ht="15.6" x14ac:dyDescent="0.3">
      <c r="B40" s="121" t="s">
        <v>116</v>
      </c>
      <c r="C40" s="66"/>
      <c r="D40" s="66"/>
      <c r="E40" s="66"/>
      <c r="F40" s="66"/>
      <c r="G40" s="66"/>
      <c r="H40" s="66"/>
    </row>
    <row r="41" spans="2:8" x14ac:dyDescent="0.3">
      <c r="B41" s="63" t="s">
        <v>97</v>
      </c>
      <c r="C41" s="126">
        <v>2</v>
      </c>
      <c r="D41" s="94">
        <f>C41</f>
        <v>2</v>
      </c>
      <c r="E41" s="94">
        <f>C41</f>
        <v>2</v>
      </c>
      <c r="F41" s="64" t="s">
        <v>98</v>
      </c>
      <c r="G41" s="64" t="s">
        <v>118</v>
      </c>
      <c r="H41" s="64" t="s">
        <v>108</v>
      </c>
    </row>
    <row r="42" spans="2:8" x14ac:dyDescent="0.3">
      <c r="B42" s="63" t="s">
        <v>179</v>
      </c>
      <c r="C42" s="127">
        <v>-95</v>
      </c>
      <c r="D42" s="127">
        <v>-96</v>
      </c>
      <c r="E42" s="127">
        <v>-99</v>
      </c>
      <c r="F42" s="64" t="s">
        <v>8</v>
      </c>
      <c r="G42" s="64" t="s">
        <v>118</v>
      </c>
      <c r="H42" s="64" t="s">
        <v>108</v>
      </c>
    </row>
    <row r="43" spans="2:8" x14ac:dyDescent="0.3">
      <c r="B43" s="63" t="s">
        <v>186</v>
      </c>
      <c r="C43" s="91">
        <v>30</v>
      </c>
      <c r="D43" s="91">
        <v>30</v>
      </c>
      <c r="E43" s="91">
        <v>31</v>
      </c>
      <c r="F43" s="64" t="s">
        <v>6</v>
      </c>
      <c r="G43" s="64" t="s">
        <v>118</v>
      </c>
      <c r="H43" s="64" t="s">
        <v>109</v>
      </c>
    </row>
    <row r="44" spans="2:8" x14ac:dyDescent="0.3">
      <c r="B44" s="63" t="s">
        <v>187</v>
      </c>
      <c r="C44" s="69">
        <f>C43-10*LOG($C$4)</f>
        <v>30</v>
      </c>
      <c r="D44" s="69">
        <f t="shared" ref="D44:E44" si="1">D43-10*LOG($C$4)</f>
        <v>30</v>
      </c>
      <c r="E44" s="69">
        <f t="shared" si="1"/>
        <v>31</v>
      </c>
      <c r="F44" s="64" t="s">
        <v>6</v>
      </c>
      <c r="G44" s="64" t="s">
        <v>175</v>
      </c>
      <c r="H44" s="64" t="s">
        <v>188</v>
      </c>
    </row>
    <row r="45" spans="2:8" x14ac:dyDescent="0.3">
      <c r="B45" s="63" t="s">
        <v>67</v>
      </c>
      <c r="C45" s="91">
        <v>-9.9999999999999995E-7</v>
      </c>
      <c r="D45" s="91">
        <v>-9.9999999999999995E-7</v>
      </c>
      <c r="E45" s="91">
        <v>-9.9999999999999995E-7</v>
      </c>
      <c r="F45" s="64" t="s">
        <v>7</v>
      </c>
      <c r="G45" s="64" t="s">
        <v>118</v>
      </c>
      <c r="H45" s="64" t="s">
        <v>184</v>
      </c>
    </row>
    <row r="46" spans="2:8" x14ac:dyDescent="0.3">
      <c r="B46" t="s">
        <v>143</v>
      </c>
      <c r="C46" s="123">
        <v>-6</v>
      </c>
      <c r="D46" s="129">
        <f>C46</f>
        <v>-6</v>
      </c>
      <c r="E46" s="129">
        <f>C46</f>
        <v>-6</v>
      </c>
      <c r="F46" s="64" t="s">
        <v>7</v>
      </c>
      <c r="G46" s="64" t="s">
        <v>118</v>
      </c>
      <c r="H46" s="64" t="s">
        <v>183</v>
      </c>
    </row>
    <row r="47" spans="2:8" ht="43.2" x14ac:dyDescent="0.3">
      <c r="B47" s="63" t="s">
        <v>103</v>
      </c>
      <c r="C47" s="69">
        <f>-(C44-C42-10*LOG(60*C8))</f>
        <v>-94.208187539523749</v>
      </c>
      <c r="D47" s="69">
        <f>-(D44-D42-10*LOG(60*D8))</f>
        <v>-96.457574905606748</v>
      </c>
      <c r="E47" s="69">
        <f>-(E44-E42-10*LOG(60*E8))</f>
        <v>-99.208187539523749</v>
      </c>
      <c r="F47" s="64" t="s">
        <v>7</v>
      </c>
      <c r="G47" s="64" t="s">
        <v>175</v>
      </c>
      <c r="H47" s="70" t="s">
        <v>239</v>
      </c>
    </row>
    <row r="48" spans="2:8" x14ac:dyDescent="0.3">
      <c r="B48" s="63" t="s">
        <v>45</v>
      </c>
      <c r="C48" s="91">
        <v>24</v>
      </c>
      <c r="D48" s="95">
        <f>C48</f>
        <v>24</v>
      </c>
      <c r="E48" s="95">
        <f>C48</f>
        <v>24</v>
      </c>
      <c r="F48" s="64" t="s">
        <v>6</v>
      </c>
      <c r="G48" s="64" t="s">
        <v>118</v>
      </c>
      <c r="H48" s="64" t="s">
        <v>109</v>
      </c>
    </row>
    <row r="49" spans="1:8" x14ac:dyDescent="0.3">
      <c r="B49" s="63" t="s">
        <v>42</v>
      </c>
      <c r="C49" s="91">
        <v>0</v>
      </c>
      <c r="D49" s="95">
        <f>C49</f>
        <v>0</v>
      </c>
      <c r="E49" s="95">
        <f>C49</f>
        <v>0</v>
      </c>
      <c r="F49" s="64" t="s">
        <v>7</v>
      </c>
      <c r="G49" s="64" t="s">
        <v>118</v>
      </c>
      <c r="H49" s="64" t="s">
        <v>193</v>
      </c>
    </row>
    <row r="50" spans="1:8" x14ac:dyDescent="0.3">
      <c r="B50" s="63" t="s">
        <v>100</v>
      </c>
      <c r="C50" s="91">
        <v>6</v>
      </c>
      <c r="D50" s="95">
        <f t="shared" ref="D50:E50" si="2">C50</f>
        <v>6</v>
      </c>
      <c r="E50" s="95">
        <f t="shared" si="2"/>
        <v>6</v>
      </c>
      <c r="F50" s="64" t="s">
        <v>7</v>
      </c>
      <c r="G50" s="64" t="s">
        <v>118</v>
      </c>
      <c r="H50" s="64" t="s">
        <v>109</v>
      </c>
    </row>
    <row r="51" spans="1:8" x14ac:dyDescent="0.3">
      <c r="B51" s="63" t="s">
        <v>50</v>
      </c>
      <c r="C51" s="91">
        <v>5</v>
      </c>
      <c r="D51" s="95">
        <f t="shared" ref="D51:E51" si="3">C51</f>
        <v>5</v>
      </c>
      <c r="E51" s="95">
        <f t="shared" si="3"/>
        <v>5</v>
      </c>
      <c r="F51" s="64" t="s">
        <v>7</v>
      </c>
      <c r="G51" s="64" t="s">
        <v>118</v>
      </c>
      <c r="H51" s="64" t="s">
        <v>109</v>
      </c>
    </row>
    <row r="54" spans="1:8" ht="21" x14ac:dyDescent="0.3">
      <c r="A54" s="99" t="s">
        <v>162</v>
      </c>
      <c r="C54" s="128" t="s">
        <v>189</v>
      </c>
    </row>
    <row r="55" spans="1:8" x14ac:dyDescent="0.3">
      <c r="C55" s="67" t="s">
        <v>75</v>
      </c>
      <c r="D55" s="68" t="s">
        <v>76</v>
      </c>
      <c r="E55" s="68" t="s">
        <v>77</v>
      </c>
      <c r="F55" s="73" t="s">
        <v>4</v>
      </c>
      <c r="G55" s="122" t="s">
        <v>117</v>
      </c>
      <c r="H55" s="72" t="s">
        <v>74</v>
      </c>
    </row>
    <row r="56" spans="1:8" x14ac:dyDescent="0.3">
      <c r="B56" s="63" t="s">
        <v>83</v>
      </c>
      <c r="C56" s="98">
        <v>15</v>
      </c>
      <c r="D56" s="90">
        <v>15</v>
      </c>
      <c r="E56" s="90">
        <v>20</v>
      </c>
      <c r="F56" s="64" t="s">
        <v>11</v>
      </c>
      <c r="G56" s="64" t="s">
        <v>118</v>
      </c>
      <c r="H56" s="64"/>
    </row>
    <row r="58" spans="1:8" ht="15.6" x14ac:dyDescent="0.3">
      <c r="B58" s="119" t="s">
        <v>171</v>
      </c>
    </row>
    <row r="59" spans="1:8" ht="72" x14ac:dyDescent="0.3">
      <c r="B59" s="63" t="s">
        <v>79</v>
      </c>
      <c r="C59" s="92">
        <f>EXPECTATIONS!J16</f>
        <v>0</v>
      </c>
      <c r="D59" s="93">
        <f>EXPECTATIONS!J17</f>
        <v>0</v>
      </c>
      <c r="E59" s="93">
        <f>EXPECTATIONS!J18</f>
        <v>0</v>
      </c>
      <c r="F59" s="64" t="s">
        <v>8</v>
      </c>
      <c r="G59" s="63" t="s">
        <v>119</v>
      </c>
      <c r="H59" s="63" t="s">
        <v>78</v>
      </c>
    </row>
    <row r="60" spans="1:8" x14ac:dyDescent="0.3">
      <c r="B60" s="111"/>
      <c r="C60" s="112"/>
      <c r="D60" s="112"/>
      <c r="E60" s="112"/>
      <c r="F60" s="112"/>
      <c r="G60" s="112"/>
      <c r="H60" s="112"/>
    </row>
    <row r="61" spans="1:8" ht="15.6" x14ac:dyDescent="0.3">
      <c r="B61" s="120" t="s">
        <v>172</v>
      </c>
      <c r="C61" s="113"/>
      <c r="D61" s="113"/>
      <c r="E61" s="113"/>
      <c r="F61" s="113"/>
      <c r="G61" s="113"/>
      <c r="H61" s="113"/>
    </row>
    <row r="62" spans="1:8" ht="43.2" x14ac:dyDescent="0.3">
      <c r="B62" s="63" t="s">
        <v>93</v>
      </c>
      <c r="C62" s="76">
        <f>'Rogers 1900'!C17</f>
        <v>-108</v>
      </c>
      <c r="D62" s="76">
        <f>'Rogers 2100'!C17</f>
        <v>-108</v>
      </c>
      <c r="E62" s="76">
        <f>'Rogers 2600'!C17</f>
        <v>-109</v>
      </c>
      <c r="F62" s="64" t="s">
        <v>7</v>
      </c>
      <c r="G62" s="64" t="s">
        <v>175</v>
      </c>
      <c r="H62" s="63" t="s">
        <v>106</v>
      </c>
    </row>
    <row r="63" spans="1:8" ht="43.2" x14ac:dyDescent="0.3">
      <c r="B63" s="63" t="s">
        <v>167</v>
      </c>
      <c r="C63" s="92">
        <v>-20</v>
      </c>
      <c r="D63" s="93">
        <v>-20</v>
      </c>
      <c r="E63" s="93">
        <v>-16</v>
      </c>
      <c r="F63" s="64" t="s">
        <v>7</v>
      </c>
      <c r="G63" s="63" t="s">
        <v>119</v>
      </c>
      <c r="H63" s="63" t="s">
        <v>94</v>
      </c>
    </row>
    <row r="65" spans="2:8" ht="15.6" x14ac:dyDescent="0.3">
      <c r="B65" s="119" t="s">
        <v>173</v>
      </c>
    </row>
    <row r="66" spans="2:8" x14ac:dyDescent="0.3">
      <c r="B66" s="63" t="s">
        <v>200</v>
      </c>
      <c r="C66" s="91">
        <v>10</v>
      </c>
      <c r="D66" s="91">
        <f>C66</f>
        <v>10</v>
      </c>
      <c r="E66" s="91">
        <f>D66</f>
        <v>10</v>
      </c>
      <c r="F66" s="64" t="s">
        <v>6</v>
      </c>
      <c r="G66" s="64" t="s">
        <v>118</v>
      </c>
      <c r="H66" s="64" t="s">
        <v>163</v>
      </c>
    </row>
    <row r="68" spans="2:8" ht="15.6" x14ac:dyDescent="0.3">
      <c r="B68" s="119" t="s">
        <v>174</v>
      </c>
    </row>
    <row r="69" spans="2:8" ht="28.8" x14ac:dyDescent="0.3">
      <c r="B69" s="63" t="s">
        <v>96</v>
      </c>
      <c r="C69" s="69">
        <f>'Rogers 1900'!G6</f>
        <v>2.2596873227228116</v>
      </c>
      <c r="D69" s="69">
        <f>'Rogers 2100'!G6</f>
        <v>4.2596873227228116</v>
      </c>
      <c r="E69" s="69">
        <f>'Rogers 2600'!G6</f>
        <v>3.0102999566398125</v>
      </c>
      <c r="F69" s="64" t="s">
        <v>7</v>
      </c>
      <c r="G69" s="64" t="s">
        <v>175</v>
      </c>
      <c r="H69" s="63" t="s">
        <v>107</v>
      </c>
    </row>
    <row r="70" spans="2:8" ht="28.8" x14ac:dyDescent="0.3">
      <c r="B70" s="63" t="s">
        <v>102</v>
      </c>
      <c r="C70" s="92"/>
      <c r="D70" s="93"/>
      <c r="E70" s="93"/>
      <c r="F70" s="64" t="s">
        <v>7</v>
      </c>
      <c r="G70" s="63" t="s">
        <v>119</v>
      </c>
      <c r="H70" s="64" t="s">
        <v>176</v>
      </c>
    </row>
    <row r="72" spans="2:8" ht="15.6" x14ac:dyDescent="0.3">
      <c r="B72" s="119" t="s">
        <v>178</v>
      </c>
    </row>
    <row r="73" spans="2:8" ht="28.8" x14ac:dyDescent="0.3">
      <c r="B73" s="63" t="s">
        <v>169</v>
      </c>
      <c r="C73" s="76">
        <f>'Rogers 1900'!K23</f>
        <v>-73.239086409443189</v>
      </c>
      <c r="D73" s="76">
        <f>'Rogers 2100'!K23</f>
        <v>-73.239086409443189</v>
      </c>
      <c r="E73" s="76">
        <f>'Rogers 2600'!K23</f>
        <v>-71.98969904336019</v>
      </c>
      <c r="F73" s="64" t="s">
        <v>6</v>
      </c>
      <c r="G73" s="64" t="s">
        <v>175</v>
      </c>
      <c r="H73" s="63"/>
    </row>
    <row r="74" spans="2:8" ht="28.8" x14ac:dyDescent="0.3">
      <c r="B74" s="63" t="s">
        <v>177</v>
      </c>
      <c r="C74" s="92"/>
      <c r="D74" s="93"/>
      <c r="E74" s="93"/>
      <c r="F74" s="64" t="s">
        <v>6</v>
      </c>
      <c r="G74" s="63" t="s">
        <v>119</v>
      </c>
      <c r="H74" s="63" t="s">
        <v>170</v>
      </c>
    </row>
    <row r="75" spans="2:8" x14ac:dyDescent="0.3">
      <c r="B75" s="65"/>
      <c r="C75" s="97"/>
      <c r="D75" s="97"/>
      <c r="E75" s="97"/>
      <c r="F75" s="66"/>
      <c r="G75" s="65"/>
      <c r="H75" s="66"/>
    </row>
    <row r="76" spans="2:8" ht="30.75" customHeight="1" x14ac:dyDescent="0.3">
      <c r="B76" s="63" t="s">
        <v>164</v>
      </c>
      <c r="C76" s="75">
        <f>10*LOG(10^('Rogers 1900'!K51/10)+10^('Rogers 2100'!K51/10)+10^('Rogers 2600'!K51/10))</f>
        <v>4.7712125471966242</v>
      </c>
      <c r="D76" s="109" t="s">
        <v>165</v>
      </c>
      <c r="E76" s="110"/>
      <c r="F76" s="63" t="s">
        <v>166</v>
      </c>
      <c r="G76" s="63" t="s">
        <v>119</v>
      </c>
      <c r="H76" s="63" t="s">
        <v>168</v>
      </c>
    </row>
    <row r="77" spans="2:8" x14ac:dyDescent="0.3">
      <c r="B77" s="65"/>
      <c r="C77" s="66"/>
      <c r="D77" s="66"/>
      <c r="E77" s="66"/>
      <c r="F77" s="66"/>
      <c r="G77" s="66"/>
      <c r="H77" s="66"/>
    </row>
    <row r="78" spans="2:8" ht="15.6" x14ac:dyDescent="0.3">
      <c r="B78" s="121" t="s">
        <v>116</v>
      </c>
      <c r="C78" s="66"/>
      <c r="D78" s="66"/>
      <c r="E78" s="66"/>
      <c r="F78" s="66"/>
      <c r="G78" s="66"/>
      <c r="H78" s="66"/>
    </row>
    <row r="79" spans="2:8" x14ac:dyDescent="0.3">
      <c r="B79" s="63" t="s">
        <v>179</v>
      </c>
      <c r="C79" s="127">
        <v>-95</v>
      </c>
      <c r="D79" s="127">
        <v>-96</v>
      </c>
      <c r="E79" s="127">
        <v>-99</v>
      </c>
      <c r="F79" s="64" t="s">
        <v>8</v>
      </c>
      <c r="G79" s="64" t="s">
        <v>118</v>
      </c>
      <c r="H79" s="64" t="s">
        <v>108</v>
      </c>
    </row>
    <row r="80" spans="2:8" x14ac:dyDescent="0.3">
      <c r="B80" s="63" t="s">
        <v>187</v>
      </c>
      <c r="C80" s="69">
        <f>C44</f>
        <v>30</v>
      </c>
      <c r="D80" s="69">
        <f>D44</f>
        <v>30</v>
      </c>
      <c r="E80" s="69">
        <f>E44</f>
        <v>31</v>
      </c>
      <c r="F80" s="64" t="s">
        <v>6</v>
      </c>
      <c r="G80" s="64" t="s">
        <v>175</v>
      </c>
      <c r="H80" s="64" t="s">
        <v>188</v>
      </c>
    </row>
    <row r="81" spans="2:8" x14ac:dyDescent="0.3">
      <c r="B81" s="63" t="s">
        <v>67</v>
      </c>
      <c r="C81" s="91">
        <v>-9.9999999999999995E-7</v>
      </c>
      <c r="D81" s="91">
        <v>-9.9999999999999995E-7</v>
      </c>
      <c r="E81" s="91">
        <v>-9.9999999999999995E-7</v>
      </c>
      <c r="F81" s="64" t="s">
        <v>7</v>
      </c>
      <c r="G81" s="64" t="s">
        <v>118</v>
      </c>
      <c r="H81" s="64" t="s">
        <v>184</v>
      </c>
    </row>
    <row r="82" spans="2:8" x14ac:dyDescent="0.3">
      <c r="B82" t="s">
        <v>143</v>
      </c>
      <c r="C82" s="69">
        <f>C46</f>
        <v>-6</v>
      </c>
      <c r="D82" s="69">
        <f t="shared" ref="D82:E82" si="4">D46</f>
        <v>-6</v>
      </c>
      <c r="E82" s="69">
        <f t="shared" si="4"/>
        <v>-6</v>
      </c>
      <c r="F82" s="64" t="s">
        <v>7</v>
      </c>
      <c r="G82" s="64" t="s">
        <v>190</v>
      </c>
      <c r="H82" s="64" t="s">
        <v>191</v>
      </c>
    </row>
    <row r="83" spans="2:8" ht="28.8" x14ac:dyDescent="0.3">
      <c r="B83" s="63" t="s">
        <v>103</v>
      </c>
      <c r="C83" s="69">
        <f>-(C80-C79-10*LOG(60*C56))</f>
        <v>-95.457574905606748</v>
      </c>
      <c r="D83" s="69">
        <f>-(D80-D79-10*LOG(60*D56))</f>
        <v>-96.457574905606748</v>
      </c>
      <c r="E83" s="69">
        <f>-(E80-E79-10*LOG(60*E56))</f>
        <v>-99.208187539523749</v>
      </c>
      <c r="F83" s="64" t="s">
        <v>7</v>
      </c>
      <c r="G83" s="64" t="s">
        <v>175</v>
      </c>
      <c r="H83" s="70" t="s">
        <v>180</v>
      </c>
    </row>
    <row r="84" spans="2:8" x14ac:dyDescent="0.3">
      <c r="B84" s="63" t="s">
        <v>45</v>
      </c>
      <c r="C84" s="69">
        <f>C48</f>
        <v>24</v>
      </c>
      <c r="D84" s="95">
        <f>C84</f>
        <v>24</v>
      </c>
      <c r="E84" s="95">
        <f>C84</f>
        <v>24</v>
      </c>
      <c r="F84" s="64" t="s">
        <v>6</v>
      </c>
      <c r="G84" s="64" t="s">
        <v>190</v>
      </c>
      <c r="H84" s="64" t="s">
        <v>191</v>
      </c>
    </row>
    <row r="85" spans="2:8" x14ac:dyDescent="0.3">
      <c r="B85" s="63" t="s">
        <v>42</v>
      </c>
      <c r="C85" s="69">
        <f t="shared" ref="C85:C87" si="5">C49</f>
        <v>0</v>
      </c>
      <c r="D85" s="95">
        <f>C85</f>
        <v>0</v>
      </c>
      <c r="E85" s="95">
        <f>C85</f>
        <v>0</v>
      </c>
      <c r="F85" s="64" t="s">
        <v>7</v>
      </c>
      <c r="G85" s="64" t="s">
        <v>190</v>
      </c>
      <c r="H85" s="64" t="s">
        <v>191</v>
      </c>
    </row>
    <row r="86" spans="2:8" x14ac:dyDescent="0.3">
      <c r="B86" s="63" t="s">
        <v>100</v>
      </c>
      <c r="C86" s="69">
        <f t="shared" si="5"/>
        <v>6</v>
      </c>
      <c r="D86" s="95">
        <f t="shared" ref="D86:D87" si="6">C86</f>
        <v>6</v>
      </c>
      <c r="E86" s="95">
        <f t="shared" ref="E86:E87" si="7">D86</f>
        <v>6</v>
      </c>
      <c r="F86" s="64" t="s">
        <v>7</v>
      </c>
      <c r="G86" s="64" t="s">
        <v>190</v>
      </c>
      <c r="H86" s="64" t="s">
        <v>191</v>
      </c>
    </row>
    <row r="87" spans="2:8" x14ac:dyDescent="0.3">
      <c r="B87" s="63" t="s">
        <v>50</v>
      </c>
      <c r="C87" s="69">
        <f t="shared" si="5"/>
        <v>5</v>
      </c>
      <c r="D87" s="95">
        <f t="shared" si="6"/>
        <v>5</v>
      </c>
      <c r="E87" s="95">
        <f t="shared" si="7"/>
        <v>5</v>
      </c>
      <c r="F87" s="64" t="s">
        <v>7</v>
      </c>
      <c r="G87" s="64" t="s">
        <v>190</v>
      </c>
      <c r="H87" s="64" t="s">
        <v>191</v>
      </c>
    </row>
  </sheetData>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46CF-E8AA-4B99-B00D-7669A69BB3AF}">
  <dimension ref="A1:L61"/>
  <sheetViews>
    <sheetView zoomScaleNormal="100" workbookViewId="0">
      <selection activeCell="C10" sqref="C10"/>
    </sheetView>
  </sheetViews>
  <sheetFormatPr defaultRowHeight="14.4" x14ac:dyDescent="0.3"/>
  <cols>
    <col min="1" max="1" width="7.5546875" customWidth="1"/>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COMMISSIONING!C7</f>
        <v>LTE-1900</v>
      </c>
      <c r="D5" s="13"/>
      <c r="J5" s="31" t="s">
        <v>48</v>
      </c>
      <c r="K5" s="32">
        <f>K42</f>
        <v>0.96999727387286327</v>
      </c>
      <c r="L5" s="33" t="s">
        <v>7</v>
      </c>
    </row>
    <row r="6" spans="1:12" x14ac:dyDescent="0.3">
      <c r="A6" t="s">
        <v>26</v>
      </c>
      <c r="B6" s="4" t="s">
        <v>10</v>
      </c>
      <c r="C6" s="24">
        <f>COMMISSIONING!C8</f>
        <v>20</v>
      </c>
      <c r="D6" s="13" t="s">
        <v>11</v>
      </c>
      <c r="F6" s="11" t="s">
        <v>101</v>
      </c>
      <c r="G6" s="17">
        <f>(K37-6)-K39+G35</f>
        <v>7.0161160464450774</v>
      </c>
      <c r="H6" s="25" t="s">
        <v>7</v>
      </c>
    </row>
    <row r="7" spans="1:12" x14ac:dyDescent="0.3">
      <c r="A7" t="s">
        <v>26</v>
      </c>
      <c r="B7" s="4" t="s">
        <v>15</v>
      </c>
      <c r="C7" s="24">
        <v>40</v>
      </c>
      <c r="D7" s="13" t="s">
        <v>5</v>
      </c>
      <c r="J7" s="14" t="s">
        <v>72</v>
      </c>
      <c r="K7" s="29">
        <f>K12+K14+K15</f>
        <v>-107.00581608980526</v>
      </c>
      <c r="L7" s="30" t="s">
        <v>6</v>
      </c>
    </row>
    <row r="8" spans="1:12" x14ac:dyDescent="0.3">
      <c r="A8" t="s">
        <v>26</v>
      </c>
      <c r="B8" t="s">
        <v>15</v>
      </c>
      <c r="C8" s="23">
        <f>10*LOG(C7)+30</f>
        <v>46.020599913279625</v>
      </c>
      <c r="D8" s="11" t="s">
        <v>6</v>
      </c>
      <c r="F8" s="11" t="s">
        <v>235</v>
      </c>
      <c r="G8" s="17">
        <f>G9-K37</f>
        <v>15.750612633917001</v>
      </c>
      <c r="H8" s="25" t="s">
        <v>7</v>
      </c>
    </row>
    <row r="9" spans="1:12" x14ac:dyDescent="0.3">
      <c r="A9" t="s">
        <v>26</v>
      </c>
      <c r="F9" s="14" t="s">
        <v>35</v>
      </c>
      <c r="G9" s="29">
        <f>G12+G14+G15</f>
        <v>-85.239087409443187</v>
      </c>
      <c r="H9" s="30" t="s">
        <v>6</v>
      </c>
    </row>
    <row r="10" spans="1:12" x14ac:dyDescent="0.3">
      <c r="A10" t="s">
        <v>26</v>
      </c>
      <c r="B10" t="s">
        <v>80</v>
      </c>
      <c r="C10" s="22">
        <f>COMMISSIONING!C11</f>
        <v>-50</v>
      </c>
      <c r="D10" s="11" t="s">
        <v>8</v>
      </c>
      <c r="E10" s="10"/>
    </row>
    <row r="11" spans="1:12" x14ac:dyDescent="0.3">
      <c r="A11" t="s">
        <v>26</v>
      </c>
    </row>
    <row r="12" spans="1:12" x14ac:dyDescent="0.3">
      <c r="A12" t="s">
        <v>26</v>
      </c>
      <c r="B12" t="s">
        <v>12</v>
      </c>
      <c r="C12" s="17">
        <f>10*LOG(60*C6)</f>
        <v>30.791812460476248</v>
      </c>
      <c r="D12" s="11" t="s">
        <v>7</v>
      </c>
      <c r="F12" s="11" t="s">
        <v>90</v>
      </c>
      <c r="G12" s="17">
        <f>C14</f>
        <v>-65.228787452803374</v>
      </c>
      <c r="H12" s="25" t="s">
        <v>7</v>
      </c>
      <c r="J12" s="11" t="s">
        <v>90</v>
      </c>
      <c r="K12" s="17">
        <f>G12</f>
        <v>-65.228787452803374</v>
      </c>
      <c r="L12" s="25" t="s">
        <v>7</v>
      </c>
    </row>
    <row r="13" spans="1:12" x14ac:dyDescent="0.3">
      <c r="A13" t="s">
        <v>26</v>
      </c>
      <c r="B13" s="59" t="s">
        <v>84</v>
      </c>
      <c r="C13" s="60">
        <f>C12+C10</f>
        <v>-19.208187539523752</v>
      </c>
      <c r="D13" s="61" t="s">
        <v>81</v>
      </c>
    </row>
    <row r="14" spans="1:12" x14ac:dyDescent="0.3">
      <c r="A14" t="s">
        <v>26</v>
      </c>
      <c r="B14" t="s">
        <v>82</v>
      </c>
      <c r="C14" s="17">
        <f>-(C8-C13)</f>
        <v>-65.228787452803374</v>
      </c>
      <c r="D14" s="11" t="s">
        <v>7</v>
      </c>
      <c r="F14" s="11" t="s">
        <v>91</v>
      </c>
      <c r="G14" s="17">
        <f>C18</f>
        <v>-40</v>
      </c>
      <c r="H14" s="25" t="s">
        <v>7</v>
      </c>
      <c r="J14" s="11" t="s">
        <v>68</v>
      </c>
      <c r="K14" s="17">
        <f>G14</f>
        <v>-40</v>
      </c>
      <c r="L14" s="25" t="s">
        <v>7</v>
      </c>
    </row>
    <row r="15" spans="1:12" x14ac:dyDescent="0.3">
      <c r="A15" s="48" t="s">
        <v>26</v>
      </c>
      <c r="C15" s="29"/>
      <c r="F15" s="14" t="s">
        <v>53</v>
      </c>
      <c r="G15" s="29">
        <f>MIN(SUM(G18:G19),COMMISSIONING!C29)</f>
        <v>19.989700043360187</v>
      </c>
      <c r="H15" s="30" t="s">
        <v>6</v>
      </c>
      <c r="J15" s="14" t="s">
        <v>54</v>
      </c>
      <c r="K15" s="29">
        <f>SUM(K17:K19)</f>
        <v>-1.7770286370018908</v>
      </c>
      <c r="L15" s="30" t="s">
        <v>6</v>
      </c>
    </row>
    <row r="16" spans="1:12" x14ac:dyDescent="0.3">
      <c r="A16" s="146" t="s">
        <v>26</v>
      </c>
      <c r="B16" s="147" t="s">
        <v>234</v>
      </c>
      <c r="C16" s="149">
        <f>C22-C21+2</f>
        <v>-75</v>
      </c>
      <c r="D16" s="148" t="s">
        <v>6</v>
      </c>
    </row>
    <row r="17" spans="1:12" x14ac:dyDescent="0.3">
      <c r="A17" t="s">
        <v>26</v>
      </c>
      <c r="B17" t="s">
        <v>233</v>
      </c>
      <c r="C17" s="144">
        <f>ROUND(C22-C13-COMMISSIONING!C29+G19,0)</f>
        <v>-47</v>
      </c>
      <c r="D17" s="31" t="s">
        <v>7</v>
      </c>
    </row>
    <row r="18" spans="1:12" x14ac:dyDescent="0.3">
      <c r="A18" t="s">
        <v>26</v>
      </c>
      <c r="B18" t="s">
        <v>92</v>
      </c>
      <c r="C18" s="22">
        <f>COMMISSIONING!C15</f>
        <v>-40</v>
      </c>
      <c r="D18" s="11" t="s">
        <v>7</v>
      </c>
      <c r="F18" s="11" t="s">
        <v>232</v>
      </c>
      <c r="G18" s="22">
        <f>COMMISSIONING!C24</f>
        <v>72</v>
      </c>
      <c r="H18" s="25" t="s">
        <v>6</v>
      </c>
      <c r="J18" s="11" t="s">
        <v>232</v>
      </c>
      <c r="K18" s="22">
        <f>G18</f>
        <v>72</v>
      </c>
      <c r="L18" s="25" t="s">
        <v>6</v>
      </c>
    </row>
    <row r="19" spans="1:12" x14ac:dyDescent="0.3">
      <c r="A19" t="s">
        <v>26</v>
      </c>
      <c r="B19" t="s">
        <v>86</v>
      </c>
      <c r="C19" s="17">
        <f>C13+C18</f>
        <v>-59.208187539523749</v>
      </c>
      <c r="D19" s="11" t="s">
        <v>6</v>
      </c>
      <c r="F19" s="14" t="s">
        <v>55</v>
      </c>
      <c r="G19" s="29">
        <f>SUM(G20:G23)</f>
        <v>-52.010299956639813</v>
      </c>
      <c r="H19" s="30" t="s">
        <v>6</v>
      </c>
      <c r="J19" s="14" t="s">
        <v>51</v>
      </c>
      <c r="K19" s="29">
        <f>SUM(K20:K23)</f>
        <v>-73.777028637001891</v>
      </c>
      <c r="L19" s="30" t="s">
        <v>6</v>
      </c>
    </row>
    <row r="20" spans="1:12" x14ac:dyDescent="0.3">
      <c r="A20" t="s">
        <v>26</v>
      </c>
    </row>
    <row r="21" spans="1:12" x14ac:dyDescent="0.3">
      <c r="A21" t="s">
        <v>26</v>
      </c>
      <c r="B21" t="s">
        <v>95</v>
      </c>
      <c r="C21" s="22">
        <f>COMMISSIONING!C19</f>
        <v>90</v>
      </c>
      <c r="D21" s="11" t="s">
        <v>7</v>
      </c>
      <c r="F21" s="11" t="s">
        <v>67</v>
      </c>
      <c r="G21" s="17">
        <f>C26</f>
        <v>-9.9999999999999995E-7</v>
      </c>
      <c r="H21" s="25" t="s">
        <v>7</v>
      </c>
      <c r="J21" s="11" t="s">
        <v>67</v>
      </c>
      <c r="K21" s="17">
        <f>G21</f>
        <v>-9.9999999999999995E-7</v>
      </c>
      <c r="L21" s="25" t="s">
        <v>7</v>
      </c>
    </row>
    <row r="22" spans="1:12" x14ac:dyDescent="0.3">
      <c r="A22" s="48" t="s">
        <v>26</v>
      </c>
      <c r="B22" t="s">
        <v>198</v>
      </c>
      <c r="C22" s="62">
        <f>COMMISSIONING!C25</f>
        <v>13</v>
      </c>
      <c r="D22" s="11" t="s">
        <v>6</v>
      </c>
      <c r="E22" s="10" t="s">
        <v>44</v>
      </c>
      <c r="F22" s="11" t="s">
        <v>143</v>
      </c>
      <c r="G22" s="17">
        <f>C27</f>
        <v>-6</v>
      </c>
      <c r="H22" s="25" t="s">
        <v>7</v>
      </c>
      <c r="J22" s="11" t="s">
        <v>52</v>
      </c>
      <c r="K22" s="17">
        <f>G22</f>
        <v>-6</v>
      </c>
      <c r="L22" s="25" t="s">
        <v>7</v>
      </c>
    </row>
    <row r="23" spans="1:12" x14ac:dyDescent="0.3">
      <c r="A23" t="s">
        <v>26</v>
      </c>
      <c r="B23" s="3" t="s">
        <v>211</v>
      </c>
      <c r="C23" s="23">
        <f>MIN(ROUND(C22-C19,0),C21)</f>
        <v>72</v>
      </c>
      <c r="D23" s="16" t="s">
        <v>7</v>
      </c>
      <c r="F23" s="14" t="s">
        <v>33</v>
      </c>
      <c r="G23" s="29">
        <f>SUM(G25:G27)</f>
        <v>-46.010298956639815</v>
      </c>
      <c r="H23" s="30" t="s">
        <v>6</v>
      </c>
      <c r="J23" s="14" t="s">
        <v>40</v>
      </c>
      <c r="K23" s="29">
        <f>SUM(K24:K29)</f>
        <v>-67.777027637001893</v>
      </c>
      <c r="L23" s="30" t="s">
        <v>6</v>
      </c>
    </row>
    <row r="24" spans="1:12" x14ac:dyDescent="0.3">
      <c r="A24" t="s">
        <v>26</v>
      </c>
      <c r="B24" t="s">
        <v>207</v>
      </c>
      <c r="C24" s="17">
        <f>C19+C23</f>
        <v>12.791812460476251</v>
      </c>
      <c r="D24" s="11" t="s">
        <v>6</v>
      </c>
    </row>
    <row r="25" spans="1:12" x14ac:dyDescent="0.3">
      <c r="F25" s="11" t="s">
        <v>71</v>
      </c>
      <c r="G25" s="17">
        <f>G40</f>
        <v>24.197888582883934</v>
      </c>
      <c r="H25" s="25" t="s">
        <v>7</v>
      </c>
      <c r="J25" s="11" t="s">
        <v>22</v>
      </c>
      <c r="K25" s="17">
        <f>G25</f>
        <v>24.197888582883934</v>
      </c>
      <c r="L25" s="25" t="s">
        <v>7</v>
      </c>
    </row>
    <row r="26" spans="1:12" x14ac:dyDescent="0.3">
      <c r="B26" t="s">
        <v>67</v>
      </c>
      <c r="C26" s="22">
        <f>COMMISSIONING!C45</f>
        <v>-9.9999999999999995E-7</v>
      </c>
      <c r="D26" s="11" t="s">
        <v>7</v>
      </c>
      <c r="E26" s="10" t="s">
        <v>44</v>
      </c>
    </row>
    <row r="27" spans="1:12" x14ac:dyDescent="0.3">
      <c r="A27" t="s">
        <v>28</v>
      </c>
      <c r="B27" t="s">
        <v>143</v>
      </c>
      <c r="C27" s="22">
        <f>COMMISSIONING!C46</f>
        <v>-6</v>
      </c>
      <c r="D27" s="11" t="s">
        <v>7</v>
      </c>
      <c r="E27" t="s">
        <v>13</v>
      </c>
      <c r="F27" s="14" t="s">
        <v>69</v>
      </c>
      <c r="G27" s="29">
        <f>SUM(G28:G29)</f>
        <v>-70.208187539523749</v>
      </c>
      <c r="H27" s="30" t="s">
        <v>6</v>
      </c>
      <c r="J27" s="31" t="s">
        <v>231</v>
      </c>
      <c r="K27" s="32">
        <f>K60</f>
        <v>9.0147838234743602</v>
      </c>
      <c r="L27" s="33" t="s">
        <v>7</v>
      </c>
    </row>
    <row r="28" spans="1:12" x14ac:dyDescent="0.3">
      <c r="A28" s="3" t="s">
        <v>28</v>
      </c>
      <c r="B28" s="3" t="s">
        <v>18</v>
      </c>
      <c r="C28" s="23">
        <f>SUM(C24,C26:C27)</f>
        <v>6.7918114604762518</v>
      </c>
      <c r="D28" s="16" t="s">
        <v>6</v>
      </c>
      <c r="F28" s="11" t="s">
        <v>32</v>
      </c>
      <c r="G28" s="17">
        <f>C33</f>
        <v>-94.208187539523749</v>
      </c>
      <c r="H28" s="25" t="s">
        <v>7</v>
      </c>
    </row>
    <row r="29" spans="1:12" x14ac:dyDescent="0.3">
      <c r="F29" s="11" t="s">
        <v>45</v>
      </c>
      <c r="G29" s="22">
        <f>COMMISSIONING!C48</f>
        <v>24</v>
      </c>
      <c r="H29" s="25" t="s">
        <v>6</v>
      </c>
      <c r="J29" s="11" t="s">
        <v>37</v>
      </c>
      <c r="K29" s="17">
        <f>-174 + 10*LOG(C6)+60</f>
        <v>-100.98970004336019</v>
      </c>
      <c r="L29" s="25" t="s">
        <v>6</v>
      </c>
    </row>
    <row r="30" spans="1:12" x14ac:dyDescent="0.3">
      <c r="A30" t="s">
        <v>28</v>
      </c>
      <c r="B30" t="s">
        <v>20</v>
      </c>
      <c r="C30" s="17">
        <f>MIN(C28+COMMISSIONING!C30,COMMISSIONING!C29)</f>
        <v>27</v>
      </c>
      <c r="D30" s="11" t="s">
        <v>6</v>
      </c>
      <c r="E30" t="s">
        <v>13</v>
      </c>
    </row>
    <row r="31" spans="1:12" x14ac:dyDescent="0.3">
      <c r="A31" t="s">
        <v>28</v>
      </c>
      <c r="B31" s="3" t="s">
        <v>21</v>
      </c>
      <c r="C31" s="23">
        <f>C30-C28</f>
        <v>20.208188539523746</v>
      </c>
      <c r="D31" s="16" t="s">
        <v>7</v>
      </c>
    </row>
    <row r="32" spans="1:12" ht="15" thickBot="1" x14ac:dyDescent="0.35">
      <c r="A32" t="s">
        <v>28</v>
      </c>
    </row>
    <row r="33" spans="1:12" x14ac:dyDescent="0.3">
      <c r="A33" s="48" t="s">
        <v>28</v>
      </c>
      <c r="B33" t="s">
        <v>89</v>
      </c>
      <c r="C33" s="22">
        <f>COMMISSIONING!C47</f>
        <v>-94.208187539523749</v>
      </c>
      <c r="D33" s="11" t="s">
        <v>7</v>
      </c>
      <c r="F33" s="45" t="s">
        <v>70</v>
      </c>
      <c r="G33" s="34"/>
      <c r="H33" s="35"/>
      <c r="J33" s="45" t="s">
        <v>49</v>
      </c>
      <c r="K33" s="34"/>
      <c r="L33" s="35"/>
    </row>
    <row r="34" spans="1:12" x14ac:dyDescent="0.3">
      <c r="A34" t="s">
        <v>28</v>
      </c>
      <c r="B34" s="3" t="s">
        <v>30</v>
      </c>
      <c r="C34" s="23">
        <f>C30+C33</f>
        <v>-67.208187539523749</v>
      </c>
      <c r="D34" s="16" t="s">
        <v>6</v>
      </c>
      <c r="F34" s="36"/>
      <c r="H34" s="37"/>
      <c r="J34" s="36"/>
      <c r="L34" s="37"/>
    </row>
    <row r="35" spans="1:12" x14ac:dyDescent="0.3">
      <c r="A35" t="s">
        <v>28</v>
      </c>
      <c r="B35" t="s">
        <v>31</v>
      </c>
      <c r="C35" s="17">
        <f>C34-C12</f>
        <v>-98</v>
      </c>
      <c r="D35" s="11" t="s">
        <v>8</v>
      </c>
      <c r="F35" s="36" t="s">
        <v>56</v>
      </c>
      <c r="G35" s="22">
        <f>COMMISSIONING!C32</f>
        <v>7</v>
      </c>
      <c r="H35" s="37" t="s">
        <v>7</v>
      </c>
      <c r="J35" s="36" t="s">
        <v>41</v>
      </c>
      <c r="K35" s="17">
        <f>K29</f>
        <v>-100.98970004336019</v>
      </c>
      <c r="L35" s="37" t="s">
        <v>6</v>
      </c>
    </row>
    <row r="36" spans="1:12" x14ac:dyDescent="0.3">
      <c r="F36" s="36" t="s">
        <v>57</v>
      </c>
      <c r="G36" s="17">
        <f>-10*LOG(G37)</f>
        <v>-3.0102999566398121</v>
      </c>
      <c r="H36" s="37" t="s">
        <v>7</v>
      </c>
      <c r="J36" s="38" t="s">
        <v>42</v>
      </c>
      <c r="K36" s="62">
        <f>COMMISSIONING!C49</f>
        <v>0</v>
      </c>
      <c r="L36" s="39" t="s">
        <v>7</v>
      </c>
    </row>
    <row r="37" spans="1:12" x14ac:dyDescent="0.3">
      <c r="F37" s="36" t="s">
        <v>58</v>
      </c>
      <c r="G37" s="143">
        <f>COMMISSIONING!C41</f>
        <v>2</v>
      </c>
      <c r="H37" s="137" t="s">
        <v>25</v>
      </c>
      <c r="J37" s="36" t="s">
        <v>43</v>
      </c>
      <c r="K37" s="17">
        <f>SUM(K35:K36)</f>
        <v>-100.98970004336019</v>
      </c>
      <c r="L37" s="37" t="s">
        <v>6</v>
      </c>
    </row>
    <row r="38" spans="1:12" x14ac:dyDescent="0.3">
      <c r="F38" s="36" t="s">
        <v>23</v>
      </c>
      <c r="G38" s="17">
        <f>C31</f>
        <v>20.208188539523746</v>
      </c>
      <c r="H38" s="37" t="s">
        <v>7</v>
      </c>
      <c r="J38" s="36"/>
      <c r="L38" s="37"/>
    </row>
    <row r="39" spans="1:12" x14ac:dyDescent="0.3">
      <c r="F39" s="36"/>
      <c r="H39" s="37"/>
      <c r="J39" s="38" t="s">
        <v>47</v>
      </c>
      <c r="K39" s="29">
        <f>K7</f>
        <v>-107.00581608980526</v>
      </c>
      <c r="L39" s="39" t="s">
        <v>6</v>
      </c>
    </row>
    <row r="40" spans="1:12" x14ac:dyDescent="0.3">
      <c r="F40" s="54" t="s">
        <v>22</v>
      </c>
      <c r="G40" s="23">
        <f>G38+G36+G35</f>
        <v>24.197888582883934</v>
      </c>
      <c r="H40" s="55" t="s">
        <v>7</v>
      </c>
      <c r="J40" s="36" t="s">
        <v>46</v>
      </c>
      <c r="K40" s="17">
        <f>10*LOG(10^(K37/10)+10^(K39/10))</f>
        <v>-100.01970276948732</v>
      </c>
      <c r="L40" s="37" t="s">
        <v>6</v>
      </c>
    </row>
    <row r="41" spans="1:12" x14ac:dyDescent="0.3">
      <c r="F41" s="36"/>
      <c r="H41" s="37"/>
      <c r="J41" s="36"/>
      <c r="L41" s="37"/>
    </row>
    <row r="42" spans="1:12" x14ac:dyDescent="0.3">
      <c r="F42" s="36"/>
      <c r="H42" s="37"/>
      <c r="J42" s="40" t="s">
        <v>48</v>
      </c>
      <c r="K42" s="32">
        <f>K40-K37</f>
        <v>0.96999727387286327</v>
      </c>
      <c r="L42" s="41" t="s">
        <v>7</v>
      </c>
    </row>
    <row r="43" spans="1:12" ht="15" thickBot="1" x14ac:dyDescent="0.35">
      <c r="F43" s="42"/>
      <c r="G43" s="43"/>
      <c r="H43" s="44"/>
      <c r="J43" s="42"/>
      <c r="K43" s="43"/>
      <c r="L43" s="44"/>
    </row>
    <row r="44" spans="1:12" ht="15" thickBot="1" x14ac:dyDescent="0.35"/>
    <row r="45" spans="1:12" x14ac:dyDescent="0.3">
      <c r="J45" s="140" t="s">
        <v>217</v>
      </c>
      <c r="K45" s="34"/>
      <c r="L45" s="35"/>
    </row>
    <row r="46" spans="1:12" x14ac:dyDescent="0.3">
      <c r="J46" s="36"/>
      <c r="L46" s="37"/>
    </row>
    <row r="47" spans="1:12" x14ac:dyDescent="0.3">
      <c r="J47" s="36" t="s">
        <v>226</v>
      </c>
      <c r="K47" s="22">
        <f>COMMISSIONING!C50</f>
        <v>6</v>
      </c>
      <c r="L47" s="37" t="s">
        <v>7</v>
      </c>
    </row>
    <row r="48" spans="1:12" x14ac:dyDescent="0.3">
      <c r="J48" s="36" t="s">
        <v>227</v>
      </c>
      <c r="K48" s="143">
        <v>2</v>
      </c>
      <c r="L48" s="142" t="s">
        <v>25</v>
      </c>
    </row>
    <row r="49" spans="10:12" x14ac:dyDescent="0.3">
      <c r="J49" s="36" t="s">
        <v>228</v>
      </c>
      <c r="K49" s="17">
        <f>K47+10*LOG(K48)</f>
        <v>9.0102999566398125</v>
      </c>
      <c r="L49" s="37" t="s">
        <v>7</v>
      </c>
    </row>
    <row r="50" spans="10:12" x14ac:dyDescent="0.3">
      <c r="J50" s="36" t="s">
        <v>229</v>
      </c>
      <c r="K50" s="17">
        <f>G40</f>
        <v>24.197888582883934</v>
      </c>
      <c r="L50" s="37" t="s">
        <v>7</v>
      </c>
    </row>
    <row r="51" spans="10:12" x14ac:dyDescent="0.3">
      <c r="J51" s="36" t="s">
        <v>218</v>
      </c>
      <c r="K51" s="22">
        <f>COMMISSIONING!C51</f>
        <v>5</v>
      </c>
      <c r="L51" s="37" t="s">
        <v>7</v>
      </c>
    </row>
    <row r="52" spans="10:12" x14ac:dyDescent="0.3">
      <c r="J52" s="36" t="s">
        <v>220</v>
      </c>
      <c r="K52" s="22">
        <v>90</v>
      </c>
      <c r="L52" s="37" t="s">
        <v>7</v>
      </c>
    </row>
    <row r="53" spans="10:12" x14ac:dyDescent="0.3">
      <c r="J53" s="36"/>
      <c r="L53" s="37"/>
    </row>
    <row r="54" spans="10:12" x14ac:dyDescent="0.3">
      <c r="J54" s="36" t="s">
        <v>221</v>
      </c>
      <c r="K54" s="141">
        <f>10^(K49/10)</f>
        <v>7.9621434110699463</v>
      </c>
      <c r="L54" s="37" t="s">
        <v>222</v>
      </c>
    </row>
    <row r="55" spans="10:12" x14ac:dyDescent="0.3">
      <c r="J55" s="36" t="s">
        <v>230</v>
      </c>
      <c r="K55" s="141">
        <f>10^(K50/10)</f>
        <v>262.89895406812798</v>
      </c>
      <c r="L55" s="37" t="s">
        <v>222</v>
      </c>
    </row>
    <row r="56" spans="10:12" x14ac:dyDescent="0.3">
      <c r="J56" s="36" t="s">
        <v>219</v>
      </c>
      <c r="K56" s="141">
        <f>10^(K51/10)</f>
        <v>3.1622776601683795</v>
      </c>
      <c r="L56" s="37" t="s">
        <v>222</v>
      </c>
    </row>
    <row r="57" spans="10:12" x14ac:dyDescent="0.3">
      <c r="J57" s="36" t="s">
        <v>225</v>
      </c>
      <c r="K57" s="141">
        <f t="shared" ref="K57" si="0">10^(K52/10)</f>
        <v>1000000000</v>
      </c>
      <c r="L57" s="37" t="s">
        <v>222</v>
      </c>
    </row>
    <row r="58" spans="10:12" x14ac:dyDescent="0.3">
      <c r="J58" s="36"/>
      <c r="L58" s="37"/>
    </row>
    <row r="59" spans="10:12" x14ac:dyDescent="0.3">
      <c r="J59" s="38" t="s">
        <v>223</v>
      </c>
      <c r="K59" s="145">
        <f>K54+(K56-1)/K55</f>
        <v>7.9703681591212758</v>
      </c>
      <c r="L59" s="39" t="s">
        <v>222</v>
      </c>
    </row>
    <row r="60" spans="10:12" x14ac:dyDescent="0.3">
      <c r="J60" s="40" t="s">
        <v>224</v>
      </c>
      <c r="K60" s="32">
        <f>10*LOG(K59)</f>
        <v>9.0147838234743602</v>
      </c>
      <c r="L60" s="41" t="s">
        <v>7</v>
      </c>
    </row>
    <row r="61" spans="10:12" ht="15" thickBot="1" x14ac:dyDescent="0.35">
      <c r="J61" s="42"/>
      <c r="K61" s="43"/>
      <c r="L61" s="44"/>
    </row>
  </sheetData>
  <mergeCells count="3">
    <mergeCell ref="J3:L3"/>
    <mergeCell ref="B3:D3"/>
    <mergeCell ref="F3:H3"/>
  </mergeCells>
  <pageMargins left="0.7" right="0.7" top="0.75" bottom="0.75" header="0.3" footer="0.3"/>
  <pageSetup orientation="portrait" horizontalDpi="0"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F1CE-CC75-48ED-B48E-67484C073A62}">
  <dimension ref="A1:L43"/>
  <sheetViews>
    <sheetView topLeftCell="B1" workbookViewId="0">
      <selection activeCell="G6" sqref="G6"/>
    </sheetView>
  </sheetViews>
  <sheetFormatPr defaultRowHeight="14.4" x14ac:dyDescent="0.3"/>
  <cols>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COMMISSIONING!D7</f>
        <v>LTE-2100</v>
      </c>
      <c r="D5" s="13"/>
      <c r="J5" s="31" t="s">
        <v>48</v>
      </c>
      <c r="K5" s="32">
        <f>K42</f>
        <v>0.96910013008053397</v>
      </c>
      <c r="L5" s="33" t="s">
        <v>7</v>
      </c>
    </row>
    <row r="6" spans="1:12" x14ac:dyDescent="0.3">
      <c r="A6" t="s">
        <v>26</v>
      </c>
      <c r="B6" s="4" t="s">
        <v>10</v>
      </c>
      <c r="C6" s="96">
        <f>COMMISSIONING!D8</f>
        <v>15</v>
      </c>
      <c r="D6" s="13" t="s">
        <v>11</v>
      </c>
      <c r="F6" s="11" t="s">
        <v>101</v>
      </c>
      <c r="G6" s="17">
        <f>(K37-6)-K39+G35</f>
        <v>2.0205999132796251</v>
      </c>
      <c r="H6" s="25" t="s">
        <v>7</v>
      </c>
    </row>
    <row r="7" spans="1:12" x14ac:dyDescent="0.3">
      <c r="A7" t="s">
        <v>26</v>
      </c>
      <c r="B7" s="4" t="s">
        <v>15</v>
      </c>
      <c r="C7" s="24">
        <v>40</v>
      </c>
      <c r="D7" s="13" t="s">
        <v>5</v>
      </c>
      <c r="J7" s="14" t="s">
        <v>72</v>
      </c>
      <c r="K7" s="29">
        <f>K12+K14+K15</f>
        <v>-108.25968732272281</v>
      </c>
      <c r="L7" s="30" t="s">
        <v>6</v>
      </c>
    </row>
    <row r="8" spans="1:12" x14ac:dyDescent="0.3">
      <c r="A8" t="s">
        <v>26</v>
      </c>
      <c r="B8" t="s">
        <v>15</v>
      </c>
      <c r="C8" s="23">
        <f>10*LOG(C7)+30</f>
        <v>46.020599913279625</v>
      </c>
      <c r="D8" s="11" t="s">
        <v>6</v>
      </c>
      <c r="F8" s="11" t="s">
        <v>99</v>
      </c>
      <c r="G8" s="17">
        <f>G9-K37</f>
        <v>9.7506126339170009</v>
      </c>
      <c r="H8" s="25" t="s">
        <v>7</v>
      </c>
    </row>
    <row r="9" spans="1:12" x14ac:dyDescent="0.3">
      <c r="A9" t="s">
        <v>26</v>
      </c>
      <c r="F9" s="14" t="s">
        <v>35</v>
      </c>
      <c r="G9" s="29">
        <f>G12+G14+G15</f>
        <v>-92.488474775526186</v>
      </c>
      <c r="H9" s="30" t="s">
        <v>6</v>
      </c>
    </row>
    <row r="10" spans="1:12" x14ac:dyDescent="0.3">
      <c r="A10" s="3" t="s">
        <v>26</v>
      </c>
      <c r="B10" t="s">
        <v>80</v>
      </c>
      <c r="C10" s="22">
        <f>COMMISSIONING!D11</f>
        <v>-85</v>
      </c>
      <c r="D10" s="11" t="s">
        <v>8</v>
      </c>
      <c r="E10" s="10"/>
    </row>
    <row r="11" spans="1:12" x14ac:dyDescent="0.3">
      <c r="A11" t="s">
        <v>26</v>
      </c>
    </row>
    <row r="12" spans="1:12" x14ac:dyDescent="0.3">
      <c r="A12" t="s">
        <v>26</v>
      </c>
      <c r="B12" t="s">
        <v>12</v>
      </c>
      <c r="C12" s="17">
        <f>10*LOG(60*C6)</f>
        <v>29.542425094393248</v>
      </c>
      <c r="D12" s="11" t="s">
        <v>7</v>
      </c>
      <c r="F12" s="11" t="s">
        <v>90</v>
      </c>
      <c r="G12" s="17">
        <f>C14</f>
        <v>-101.47817481888637</v>
      </c>
      <c r="H12" s="25" t="s">
        <v>7</v>
      </c>
      <c r="J12" s="11" t="s">
        <v>90</v>
      </c>
      <c r="K12" s="17">
        <f>G12</f>
        <v>-101.47817481888637</v>
      </c>
      <c r="L12" s="25" t="s">
        <v>7</v>
      </c>
    </row>
    <row r="13" spans="1:12" x14ac:dyDescent="0.3">
      <c r="A13" t="s">
        <v>26</v>
      </c>
      <c r="B13" s="59" t="s">
        <v>84</v>
      </c>
      <c r="C13" s="60">
        <f>C12+C10</f>
        <v>-55.457574905606748</v>
      </c>
      <c r="D13" s="61" t="s">
        <v>81</v>
      </c>
    </row>
    <row r="14" spans="1:12" x14ac:dyDescent="0.3">
      <c r="A14" t="s">
        <v>26</v>
      </c>
      <c r="B14" t="s">
        <v>82</v>
      </c>
      <c r="C14" s="17">
        <f>-(C8-C13)</f>
        <v>-101.47817481888637</v>
      </c>
      <c r="D14" s="11" t="s">
        <v>7</v>
      </c>
      <c r="F14" s="11" t="s">
        <v>91</v>
      </c>
      <c r="G14" s="17">
        <f>C18</f>
        <v>-23</v>
      </c>
      <c r="H14" s="25" t="s">
        <v>7</v>
      </c>
      <c r="J14" s="11" t="s">
        <v>68</v>
      </c>
      <c r="K14" s="17">
        <f>G14</f>
        <v>-23</v>
      </c>
      <c r="L14" s="25" t="s">
        <v>7</v>
      </c>
    </row>
    <row r="15" spans="1:12" x14ac:dyDescent="0.3">
      <c r="A15" s="59" t="s">
        <v>26</v>
      </c>
      <c r="C15" s="29"/>
      <c r="F15" s="14" t="s">
        <v>53</v>
      </c>
      <c r="G15" s="29">
        <f>SUM(G18:G19)</f>
        <v>31.989700043360187</v>
      </c>
      <c r="H15" s="30" t="s">
        <v>6</v>
      </c>
      <c r="J15" s="14" t="s">
        <v>54</v>
      </c>
      <c r="K15" s="29">
        <f>SUM(K17:K19)</f>
        <v>16.218487496163561</v>
      </c>
      <c r="L15" s="30" t="s">
        <v>6</v>
      </c>
    </row>
    <row r="16" spans="1:12" x14ac:dyDescent="0.3">
      <c r="A16" t="s">
        <v>26</v>
      </c>
      <c r="B16" s="3" t="s">
        <v>85</v>
      </c>
      <c r="C16" s="17">
        <f>C22-C21+2</f>
        <v>-75</v>
      </c>
      <c r="D16" s="16" t="s">
        <v>6</v>
      </c>
    </row>
    <row r="17" spans="1:12" x14ac:dyDescent="0.3">
      <c r="A17" t="s">
        <v>26</v>
      </c>
      <c r="B17" t="s">
        <v>88</v>
      </c>
      <c r="C17" s="32">
        <f>ROUND(C16-C13,0)</f>
        <v>-20</v>
      </c>
      <c r="D17" s="31" t="s">
        <v>7</v>
      </c>
      <c r="J17" s="11" t="s">
        <v>50</v>
      </c>
      <c r="K17" s="22">
        <f>COMMISSIONING!D51</f>
        <v>5</v>
      </c>
      <c r="L17" s="25" t="s">
        <v>7</v>
      </c>
    </row>
    <row r="18" spans="1:12" x14ac:dyDescent="0.3">
      <c r="A18" t="s">
        <v>26</v>
      </c>
      <c r="B18" t="s">
        <v>92</v>
      </c>
      <c r="C18" s="22">
        <f>COMMISSIONING!D15</f>
        <v>-23</v>
      </c>
      <c r="D18" s="11" t="s">
        <v>7</v>
      </c>
      <c r="F18" s="11" t="s">
        <v>34</v>
      </c>
      <c r="G18" s="17">
        <f>C23</f>
        <v>90</v>
      </c>
      <c r="H18" s="25" t="s">
        <v>6</v>
      </c>
      <c r="J18" s="11" t="s">
        <v>34</v>
      </c>
      <c r="K18" s="17">
        <f>G18</f>
        <v>90</v>
      </c>
      <c r="L18" s="25" t="s">
        <v>6</v>
      </c>
    </row>
    <row r="19" spans="1:12" x14ac:dyDescent="0.3">
      <c r="A19" t="s">
        <v>26</v>
      </c>
      <c r="B19" t="s">
        <v>86</v>
      </c>
      <c r="C19" s="17">
        <f>C13+C18</f>
        <v>-78.457574905606748</v>
      </c>
      <c r="D19" s="11" t="s">
        <v>6</v>
      </c>
      <c r="F19" s="14" t="s">
        <v>55</v>
      </c>
      <c r="G19" s="29">
        <f>SUM(G20:G23)</f>
        <v>-58.010299956639813</v>
      </c>
      <c r="H19" s="30" t="s">
        <v>6</v>
      </c>
      <c r="J19" s="14" t="s">
        <v>51</v>
      </c>
      <c r="K19" s="29">
        <f>SUM(K20:K23)</f>
        <v>-78.781512503836439</v>
      </c>
      <c r="L19" s="30" t="s">
        <v>6</v>
      </c>
    </row>
    <row r="20" spans="1:12" x14ac:dyDescent="0.3">
      <c r="A20" t="s">
        <v>26</v>
      </c>
    </row>
    <row r="21" spans="1:12" x14ac:dyDescent="0.3">
      <c r="A21" s="3" t="s">
        <v>26</v>
      </c>
      <c r="B21" s="4" t="s">
        <v>95</v>
      </c>
      <c r="C21" s="21">
        <v>90</v>
      </c>
      <c r="D21" s="13" t="s">
        <v>7</v>
      </c>
      <c r="F21" s="11" t="s">
        <v>67</v>
      </c>
      <c r="G21" s="17">
        <f>C26</f>
        <v>-9.9999999999999995E-7</v>
      </c>
      <c r="H21" s="25" t="s">
        <v>7</v>
      </c>
      <c r="J21" s="11" t="s">
        <v>67</v>
      </c>
      <c r="K21" s="17">
        <f>G21</f>
        <v>-9.9999999999999995E-7</v>
      </c>
      <c r="L21" s="25" t="s">
        <v>7</v>
      </c>
    </row>
    <row r="22" spans="1:12" x14ac:dyDescent="0.3">
      <c r="B22" s="4" t="s">
        <v>198</v>
      </c>
      <c r="C22" s="21">
        <f>COMMISSIONING!D25</f>
        <v>13</v>
      </c>
      <c r="D22" s="13" t="s">
        <v>6</v>
      </c>
      <c r="E22" s="10" t="s">
        <v>44</v>
      </c>
      <c r="F22" s="11" t="s">
        <v>52</v>
      </c>
      <c r="G22" s="17">
        <f>C27</f>
        <v>-6</v>
      </c>
      <c r="H22" s="25" t="s">
        <v>7</v>
      </c>
      <c r="J22" s="11" t="s">
        <v>52</v>
      </c>
      <c r="K22" s="17">
        <f>G22</f>
        <v>-6</v>
      </c>
      <c r="L22" s="25" t="s">
        <v>7</v>
      </c>
    </row>
    <row r="23" spans="1:12" x14ac:dyDescent="0.3">
      <c r="B23" s="3" t="s">
        <v>199</v>
      </c>
      <c r="C23" s="23">
        <f>MIN(C22-C19,C21)</f>
        <v>90</v>
      </c>
      <c r="D23" s="16" t="s">
        <v>7</v>
      </c>
      <c r="F23" s="14" t="s">
        <v>33</v>
      </c>
      <c r="G23" s="29">
        <f>SUM(G25:G27)</f>
        <v>-52.010298956639815</v>
      </c>
      <c r="H23" s="30" t="s">
        <v>6</v>
      </c>
      <c r="J23" s="14" t="s">
        <v>40</v>
      </c>
      <c r="K23" s="29">
        <f>SUM(K28:K29)+SUM(K25:K26)</f>
        <v>-72.781511503836441</v>
      </c>
      <c r="L23" s="30" t="s">
        <v>6</v>
      </c>
    </row>
    <row r="24" spans="1:12" x14ac:dyDescent="0.3">
      <c r="B24" t="s">
        <v>66</v>
      </c>
      <c r="C24" s="17">
        <f>C19+C23</f>
        <v>11.542425094393252</v>
      </c>
      <c r="D24" s="11" t="s">
        <v>6</v>
      </c>
    </row>
    <row r="25" spans="1:12" x14ac:dyDescent="0.3">
      <c r="F25" s="11" t="s">
        <v>71</v>
      </c>
      <c r="G25" s="17">
        <f>G40</f>
        <v>20.447275948966933</v>
      </c>
      <c r="H25" s="25" t="s">
        <v>7</v>
      </c>
      <c r="J25" s="11" t="s">
        <v>22</v>
      </c>
      <c r="K25" s="17">
        <f>G25</f>
        <v>20.447275948966933</v>
      </c>
      <c r="L25" s="25" t="s">
        <v>7</v>
      </c>
    </row>
    <row r="26" spans="1:12" x14ac:dyDescent="0.3">
      <c r="B26" t="s">
        <v>67</v>
      </c>
      <c r="C26" s="22">
        <f>COMMISSIONING!D45</f>
        <v>-9.9999999999999995E-7</v>
      </c>
      <c r="D26" s="11" t="s">
        <v>7</v>
      </c>
      <c r="E26" s="10" t="s">
        <v>44</v>
      </c>
      <c r="J26" s="11" t="s">
        <v>39</v>
      </c>
      <c r="K26" s="17">
        <f>10*LOG(K27)</f>
        <v>3.0102999566398121</v>
      </c>
      <c r="L26" s="25" t="s">
        <v>7</v>
      </c>
    </row>
    <row r="27" spans="1:12" x14ac:dyDescent="0.3">
      <c r="A27" t="s">
        <v>27</v>
      </c>
      <c r="B27" t="s">
        <v>52</v>
      </c>
      <c r="C27" s="22">
        <f>COMMISSIONING!D46</f>
        <v>-6</v>
      </c>
      <c r="D27" s="11" t="s">
        <v>7</v>
      </c>
      <c r="E27" t="s">
        <v>13</v>
      </c>
      <c r="F27" s="14" t="s">
        <v>69</v>
      </c>
      <c r="G27" s="29">
        <f>SUM(G28:G29)</f>
        <v>-72.457574905606748</v>
      </c>
      <c r="H27" s="30" t="s">
        <v>6</v>
      </c>
      <c r="J27" s="13" t="s">
        <v>24</v>
      </c>
      <c r="K27" s="24">
        <f>COMMISSIONING!D41</f>
        <v>2</v>
      </c>
      <c r="L27" s="28" t="s">
        <v>25</v>
      </c>
    </row>
    <row r="28" spans="1:12" x14ac:dyDescent="0.3">
      <c r="A28" s="3" t="s">
        <v>27</v>
      </c>
      <c r="B28" s="3" t="s">
        <v>18</v>
      </c>
      <c r="C28" s="23">
        <f>SUM(C24,C26:C27)</f>
        <v>5.5424240943932528</v>
      </c>
      <c r="D28" s="16" t="s">
        <v>6</v>
      </c>
      <c r="F28" s="11" t="s">
        <v>32</v>
      </c>
      <c r="G28" s="17">
        <f>C33</f>
        <v>-96.457574905606748</v>
      </c>
      <c r="H28" s="25" t="s">
        <v>7</v>
      </c>
      <c r="J28" s="11" t="s">
        <v>38</v>
      </c>
      <c r="K28" s="22">
        <f>COMMISSIONING!D50</f>
        <v>6</v>
      </c>
      <c r="L28" s="25" t="s">
        <v>7</v>
      </c>
    </row>
    <row r="29" spans="1:12" x14ac:dyDescent="0.3">
      <c r="A29" t="s">
        <v>27</v>
      </c>
      <c r="F29" s="11" t="s">
        <v>45</v>
      </c>
      <c r="G29" s="22">
        <f>COMMISSIONING!D48</f>
        <v>24</v>
      </c>
      <c r="H29" s="25" t="s">
        <v>6</v>
      </c>
      <c r="J29" s="11" t="s">
        <v>37</v>
      </c>
      <c r="K29" s="17">
        <f>-174 + 10*LOG(C6)+60</f>
        <v>-102.23908740944319</v>
      </c>
      <c r="L29" s="25" t="s">
        <v>6</v>
      </c>
    </row>
    <row r="30" spans="1:12" x14ac:dyDescent="0.3">
      <c r="B30" t="s">
        <v>20</v>
      </c>
      <c r="C30" s="17">
        <f>MIN(C28+36,27)</f>
        <v>27</v>
      </c>
      <c r="D30" s="11" t="s">
        <v>6</v>
      </c>
      <c r="E30" t="s">
        <v>13</v>
      </c>
    </row>
    <row r="31" spans="1:12" x14ac:dyDescent="0.3">
      <c r="A31" t="s">
        <v>28</v>
      </c>
      <c r="B31" s="3" t="s">
        <v>21</v>
      </c>
      <c r="C31" s="23">
        <f>C30-C28</f>
        <v>21.457575905606745</v>
      </c>
      <c r="D31" s="16" t="s">
        <v>7</v>
      </c>
    </row>
    <row r="32" spans="1:12" ht="15" thickBot="1" x14ac:dyDescent="0.35">
      <c r="A32" t="s">
        <v>28</v>
      </c>
      <c r="I32" s="10" t="s">
        <v>44</v>
      </c>
    </row>
    <row r="33" spans="1:12" x14ac:dyDescent="0.3">
      <c r="A33" s="3" t="s">
        <v>28</v>
      </c>
      <c r="B33" t="s">
        <v>89</v>
      </c>
      <c r="C33" s="22">
        <f>COMMISSIONING!D47</f>
        <v>-96.457574905606748</v>
      </c>
      <c r="D33" s="11" t="s">
        <v>7</v>
      </c>
      <c r="F33" s="45" t="s">
        <v>70</v>
      </c>
      <c r="G33" s="34"/>
      <c r="H33" s="35"/>
      <c r="J33" s="45" t="s">
        <v>49</v>
      </c>
      <c r="K33" s="34"/>
      <c r="L33" s="35"/>
    </row>
    <row r="34" spans="1:12" x14ac:dyDescent="0.3">
      <c r="A34" t="s">
        <v>28</v>
      </c>
      <c r="B34" s="3" t="s">
        <v>30</v>
      </c>
      <c r="C34" s="23">
        <f>C30+C33</f>
        <v>-69.457574905606748</v>
      </c>
      <c r="D34" s="16" t="s">
        <v>6</v>
      </c>
      <c r="F34" s="36"/>
      <c r="H34" s="37"/>
      <c r="J34" s="36"/>
      <c r="L34" s="37"/>
    </row>
    <row r="35" spans="1:12" x14ac:dyDescent="0.3">
      <c r="A35" t="s">
        <v>28</v>
      </c>
      <c r="B35" t="s">
        <v>31</v>
      </c>
      <c r="C35" s="17">
        <f>C34-C12</f>
        <v>-99</v>
      </c>
      <c r="D35" s="11" t="s">
        <v>8</v>
      </c>
      <c r="F35" s="36" t="s">
        <v>56</v>
      </c>
      <c r="G35" s="22">
        <f>COMMISSIONING!D32</f>
        <v>2</v>
      </c>
      <c r="H35" s="37" t="s">
        <v>7</v>
      </c>
      <c r="J35" s="36" t="s">
        <v>41</v>
      </c>
      <c r="K35" s="17">
        <f>K29</f>
        <v>-102.23908740944319</v>
      </c>
      <c r="L35" s="37" t="s">
        <v>6</v>
      </c>
    </row>
    <row r="36" spans="1:12" x14ac:dyDescent="0.3">
      <c r="A36" s="3" t="s">
        <v>28</v>
      </c>
      <c r="F36" s="36" t="s">
        <v>57</v>
      </c>
      <c r="G36" s="17">
        <f>-10*LOG(G37)</f>
        <v>-3.0102999566398121</v>
      </c>
      <c r="H36" s="37" t="s">
        <v>7</v>
      </c>
      <c r="J36" s="38" t="s">
        <v>42</v>
      </c>
      <c r="K36" s="62">
        <f>COMMISSIONING!D49</f>
        <v>0</v>
      </c>
      <c r="L36" s="39" t="s">
        <v>7</v>
      </c>
    </row>
    <row r="37" spans="1:12" x14ac:dyDescent="0.3">
      <c r="F37" s="51" t="s">
        <v>58</v>
      </c>
      <c r="G37" s="52">
        <f>COMMISSIONING!D41</f>
        <v>2</v>
      </c>
      <c r="H37" s="53" t="s">
        <v>25</v>
      </c>
      <c r="J37" s="36" t="s">
        <v>43</v>
      </c>
      <c r="K37" s="17">
        <f>SUM(K35:K36)</f>
        <v>-102.23908740944319</v>
      </c>
      <c r="L37" s="37" t="s">
        <v>6</v>
      </c>
    </row>
    <row r="38" spans="1:12" x14ac:dyDescent="0.3">
      <c r="F38" s="36" t="s">
        <v>23</v>
      </c>
      <c r="G38" s="17">
        <f>C31</f>
        <v>21.457575905606745</v>
      </c>
      <c r="H38" s="37" t="s">
        <v>7</v>
      </c>
      <c r="J38" s="36"/>
      <c r="L38" s="37"/>
    </row>
    <row r="39" spans="1:12" x14ac:dyDescent="0.3">
      <c r="A39" s="3"/>
      <c r="F39" s="36"/>
      <c r="H39" s="37"/>
      <c r="J39" s="38" t="s">
        <v>47</v>
      </c>
      <c r="K39" s="29">
        <f>K7</f>
        <v>-108.25968732272281</v>
      </c>
      <c r="L39" s="39" t="s">
        <v>6</v>
      </c>
    </row>
    <row r="40" spans="1:12" x14ac:dyDescent="0.3">
      <c r="F40" s="54" t="s">
        <v>22</v>
      </c>
      <c r="G40" s="23">
        <f>G38+G36+G35</f>
        <v>20.447275948966933</v>
      </c>
      <c r="H40" s="55" t="s">
        <v>7</v>
      </c>
      <c r="J40" s="36" t="s">
        <v>46</v>
      </c>
      <c r="K40" s="17">
        <f>10*LOG(10^(K37/10)+10^(K39/10))</f>
        <v>-101.26998727936265</v>
      </c>
      <c r="L40" s="37" t="s">
        <v>6</v>
      </c>
    </row>
    <row r="41" spans="1:12" x14ac:dyDescent="0.3">
      <c r="F41" s="36"/>
      <c r="H41" s="37"/>
      <c r="J41" s="36"/>
      <c r="L41" s="37"/>
    </row>
    <row r="42" spans="1:12" x14ac:dyDescent="0.3">
      <c r="F42" s="36"/>
      <c r="H42" s="37"/>
      <c r="J42" s="40" t="s">
        <v>48</v>
      </c>
      <c r="K42" s="32">
        <f>K40-K37</f>
        <v>0.96910013008053397</v>
      </c>
      <c r="L42" s="41" t="s">
        <v>7</v>
      </c>
    </row>
    <row r="43" spans="1:12" ht="15" thickBot="1" x14ac:dyDescent="0.35">
      <c r="F43" s="42"/>
      <c r="G43" s="43"/>
      <c r="H43" s="44"/>
      <c r="J43" s="42"/>
      <c r="K43" s="43"/>
      <c r="L43" s="44"/>
    </row>
  </sheetData>
  <mergeCells count="3">
    <mergeCell ref="B3:D3"/>
    <mergeCell ref="F3:H3"/>
    <mergeCell ref="J3:L3"/>
  </mergeCells>
  <pageMargins left="0.7" right="0.7" top="0.75" bottom="0.75" header="0.3" footer="0.3"/>
  <pageSetup orientation="portrait" horizontalDpi="0"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3F29-74AF-4970-82EA-526CF35DC91C}">
  <dimension ref="A1:L43"/>
  <sheetViews>
    <sheetView topLeftCell="B1" workbookViewId="0">
      <selection activeCell="G35" sqref="G35"/>
    </sheetView>
  </sheetViews>
  <sheetFormatPr defaultRowHeight="14.4" x14ac:dyDescent="0.3"/>
  <cols>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COMMISSIONING!E7</f>
        <v>LTE-2600</v>
      </c>
      <c r="D5" s="13"/>
      <c r="J5" s="31" t="s">
        <v>48</v>
      </c>
      <c r="K5" s="32">
        <f>K42</f>
        <v>0.96910013008056239</v>
      </c>
      <c r="L5" s="33" t="s">
        <v>7</v>
      </c>
    </row>
    <row r="6" spans="1:12" x14ac:dyDescent="0.3">
      <c r="A6" t="s">
        <v>26</v>
      </c>
      <c r="B6" s="4" t="s">
        <v>10</v>
      </c>
      <c r="C6" s="96">
        <f>COMMISSIONING!E8</f>
        <v>20</v>
      </c>
      <c r="D6" s="13" t="s">
        <v>11</v>
      </c>
      <c r="F6" s="11" t="s">
        <v>101</v>
      </c>
      <c r="G6" s="17">
        <f>(K37-6)-K39+G35</f>
        <v>2.0205999132796251</v>
      </c>
      <c r="H6" s="25" t="s">
        <v>7</v>
      </c>
    </row>
    <row r="7" spans="1:12" x14ac:dyDescent="0.3">
      <c r="A7" t="s">
        <v>26</v>
      </c>
      <c r="B7" s="4" t="s">
        <v>15</v>
      </c>
      <c r="C7" s="24">
        <v>40</v>
      </c>
      <c r="D7" s="13" t="s">
        <v>5</v>
      </c>
      <c r="J7" s="14" t="s">
        <v>72</v>
      </c>
      <c r="K7" s="29">
        <f>K12+K14+K15</f>
        <v>-107.01029995663981</v>
      </c>
      <c r="L7" s="30" t="s">
        <v>6</v>
      </c>
    </row>
    <row r="8" spans="1:12" x14ac:dyDescent="0.3">
      <c r="A8" t="s">
        <v>26</v>
      </c>
      <c r="B8" t="s">
        <v>15</v>
      </c>
      <c r="C8" s="23">
        <f>10*LOG(C7)+30</f>
        <v>46.020599913279625</v>
      </c>
      <c r="D8" s="11" t="s">
        <v>6</v>
      </c>
      <c r="F8" s="11" t="s">
        <v>99</v>
      </c>
      <c r="G8" s="17">
        <f>G9-K37</f>
        <v>5.7506126339170009</v>
      </c>
      <c r="H8" s="25" t="s">
        <v>7</v>
      </c>
    </row>
    <row r="9" spans="1:12" x14ac:dyDescent="0.3">
      <c r="A9" t="s">
        <v>26</v>
      </c>
      <c r="F9" s="14" t="s">
        <v>35</v>
      </c>
      <c r="G9" s="29">
        <f>G12+G14+G15</f>
        <v>-95.239087409443187</v>
      </c>
      <c r="H9" s="30" t="s">
        <v>6</v>
      </c>
    </row>
    <row r="10" spans="1:12" x14ac:dyDescent="0.3">
      <c r="A10" s="3" t="s">
        <v>26</v>
      </c>
      <c r="B10" t="s">
        <v>80</v>
      </c>
      <c r="C10" s="22">
        <f>COMMISSIONING!E11</f>
        <v>-90</v>
      </c>
      <c r="D10" s="11" t="s">
        <v>8</v>
      </c>
      <c r="E10" s="10"/>
    </row>
    <row r="11" spans="1:12" x14ac:dyDescent="0.3">
      <c r="A11" t="s">
        <v>26</v>
      </c>
    </row>
    <row r="12" spans="1:12" x14ac:dyDescent="0.3">
      <c r="A12" t="s">
        <v>26</v>
      </c>
      <c r="B12" t="s">
        <v>12</v>
      </c>
      <c r="C12" s="17">
        <f>10*LOG(60*C6)</f>
        <v>30.791812460476248</v>
      </c>
      <c r="D12" s="11" t="s">
        <v>7</v>
      </c>
      <c r="F12" s="11" t="s">
        <v>90</v>
      </c>
      <c r="G12" s="17">
        <f>C14</f>
        <v>-105.22878745280337</v>
      </c>
      <c r="H12" s="25" t="s">
        <v>7</v>
      </c>
      <c r="J12" s="11" t="s">
        <v>90</v>
      </c>
      <c r="K12" s="17">
        <f>G12</f>
        <v>-105.22878745280337</v>
      </c>
      <c r="L12" s="25" t="s">
        <v>7</v>
      </c>
    </row>
    <row r="13" spans="1:12" x14ac:dyDescent="0.3">
      <c r="A13" t="s">
        <v>26</v>
      </c>
      <c r="B13" s="59" t="s">
        <v>84</v>
      </c>
      <c r="C13" s="60">
        <f>C12+C10</f>
        <v>-59.208187539523749</v>
      </c>
      <c r="D13" s="61" t="s">
        <v>81</v>
      </c>
    </row>
    <row r="14" spans="1:12" x14ac:dyDescent="0.3">
      <c r="A14" t="s">
        <v>26</v>
      </c>
      <c r="B14" t="s">
        <v>82</v>
      </c>
      <c r="C14" s="17">
        <f>-(C8-C13)</f>
        <v>-105.22878745280337</v>
      </c>
      <c r="D14" s="11" t="s">
        <v>7</v>
      </c>
      <c r="F14" s="11" t="s">
        <v>91</v>
      </c>
      <c r="G14" s="17">
        <f>C18</f>
        <v>-20</v>
      </c>
      <c r="H14" s="25" t="s">
        <v>7</v>
      </c>
      <c r="J14" s="11" t="s">
        <v>68</v>
      </c>
      <c r="K14" s="17">
        <f>G14</f>
        <v>-20</v>
      </c>
      <c r="L14" s="25" t="s">
        <v>7</v>
      </c>
    </row>
    <row r="15" spans="1:12" x14ac:dyDescent="0.3">
      <c r="A15" s="59" t="s">
        <v>26</v>
      </c>
      <c r="C15" s="29"/>
      <c r="F15" s="14" t="s">
        <v>53</v>
      </c>
      <c r="G15" s="29">
        <f>SUM(G18:G19)</f>
        <v>29.989700043360187</v>
      </c>
      <c r="H15" s="30" t="s">
        <v>6</v>
      </c>
      <c r="J15" s="14" t="s">
        <v>54</v>
      </c>
      <c r="K15" s="29">
        <f>SUM(K17:K19)</f>
        <v>18.218487496163561</v>
      </c>
      <c r="L15" s="30" t="s">
        <v>6</v>
      </c>
    </row>
    <row r="16" spans="1:12" x14ac:dyDescent="0.3">
      <c r="A16" t="s">
        <v>26</v>
      </c>
      <c r="B16" s="3" t="s">
        <v>85</v>
      </c>
      <c r="C16" s="17">
        <f>C22-C21+2</f>
        <v>-75</v>
      </c>
      <c r="D16" s="16" t="s">
        <v>6</v>
      </c>
    </row>
    <row r="17" spans="1:12" x14ac:dyDescent="0.3">
      <c r="A17" t="s">
        <v>26</v>
      </c>
      <c r="B17" t="s">
        <v>88</v>
      </c>
      <c r="C17" s="32">
        <f>ROUND(C16-C13,0)</f>
        <v>-16</v>
      </c>
      <c r="D17" s="31" t="s">
        <v>7</v>
      </c>
      <c r="J17" s="11" t="s">
        <v>50</v>
      </c>
      <c r="K17" s="22">
        <f>COMMISSIONING!E51</f>
        <v>5</v>
      </c>
      <c r="L17" s="25" t="s">
        <v>7</v>
      </c>
    </row>
    <row r="18" spans="1:12" x14ac:dyDescent="0.3">
      <c r="A18" t="s">
        <v>26</v>
      </c>
      <c r="B18" t="s">
        <v>92</v>
      </c>
      <c r="C18" s="22">
        <f>COMMISSIONING!E15</f>
        <v>-20</v>
      </c>
      <c r="D18" s="11" t="s">
        <v>7</v>
      </c>
      <c r="F18" s="11" t="s">
        <v>34</v>
      </c>
      <c r="G18" s="17">
        <f>C23</f>
        <v>90</v>
      </c>
      <c r="H18" s="25" t="s">
        <v>6</v>
      </c>
      <c r="J18" s="11" t="s">
        <v>34</v>
      </c>
      <c r="K18" s="17">
        <f>G18</f>
        <v>90</v>
      </c>
      <c r="L18" s="25" t="s">
        <v>6</v>
      </c>
    </row>
    <row r="19" spans="1:12" x14ac:dyDescent="0.3">
      <c r="A19" t="s">
        <v>26</v>
      </c>
      <c r="B19" t="s">
        <v>86</v>
      </c>
      <c r="C19" s="17">
        <f>C13+C18</f>
        <v>-79.208187539523749</v>
      </c>
      <c r="D19" s="11" t="s">
        <v>6</v>
      </c>
      <c r="F19" s="14" t="s">
        <v>55</v>
      </c>
      <c r="G19" s="29">
        <f>SUM(G20:G23)</f>
        <v>-60.010299956639813</v>
      </c>
      <c r="H19" s="30" t="s">
        <v>6</v>
      </c>
      <c r="J19" s="14" t="s">
        <v>51</v>
      </c>
      <c r="K19" s="29">
        <f>SUM(K20:K23)</f>
        <v>-76.781512503836439</v>
      </c>
      <c r="L19" s="30" t="s">
        <v>6</v>
      </c>
    </row>
    <row r="20" spans="1:12" x14ac:dyDescent="0.3">
      <c r="A20" t="s">
        <v>26</v>
      </c>
    </row>
    <row r="21" spans="1:12" x14ac:dyDescent="0.3">
      <c r="A21" s="3" t="s">
        <v>26</v>
      </c>
      <c r="B21" s="4" t="s">
        <v>95</v>
      </c>
      <c r="C21" s="21">
        <v>90</v>
      </c>
      <c r="D21" s="13" t="s">
        <v>7</v>
      </c>
      <c r="F21" s="11" t="s">
        <v>67</v>
      </c>
      <c r="G21" s="17">
        <f>C26</f>
        <v>-9.9999999999999995E-7</v>
      </c>
      <c r="H21" s="25" t="s">
        <v>7</v>
      </c>
      <c r="J21" s="11" t="s">
        <v>67</v>
      </c>
      <c r="K21" s="17">
        <f>G21</f>
        <v>-9.9999999999999995E-7</v>
      </c>
      <c r="L21" s="25" t="s">
        <v>7</v>
      </c>
    </row>
    <row r="22" spans="1:12" x14ac:dyDescent="0.3">
      <c r="B22" s="4" t="s">
        <v>19</v>
      </c>
      <c r="C22" s="21">
        <f>COMMISSIONING!E25</f>
        <v>13</v>
      </c>
      <c r="D22" s="13" t="s">
        <v>6</v>
      </c>
      <c r="E22" s="10" t="s">
        <v>44</v>
      </c>
      <c r="F22" s="11" t="s">
        <v>52</v>
      </c>
      <c r="G22" s="17">
        <f>C27</f>
        <v>-6</v>
      </c>
      <c r="H22" s="25" t="s">
        <v>7</v>
      </c>
      <c r="J22" s="11" t="s">
        <v>52</v>
      </c>
      <c r="K22" s="17">
        <f>G22</f>
        <v>-6</v>
      </c>
      <c r="L22" s="25" t="s">
        <v>7</v>
      </c>
    </row>
    <row r="23" spans="1:12" x14ac:dyDescent="0.3">
      <c r="B23" s="3" t="s">
        <v>87</v>
      </c>
      <c r="C23" s="23">
        <f>MIN(C22-C19,C21)</f>
        <v>90</v>
      </c>
      <c r="D23" s="16" t="s">
        <v>7</v>
      </c>
      <c r="F23" s="14" t="s">
        <v>33</v>
      </c>
      <c r="G23" s="29">
        <f>SUM(G25:G27)</f>
        <v>-54.010298956639815</v>
      </c>
      <c r="H23" s="30" t="s">
        <v>6</v>
      </c>
      <c r="J23" s="14" t="s">
        <v>40</v>
      </c>
      <c r="K23" s="29">
        <f>SUM(K28:K29)+SUM(K25:K26)</f>
        <v>-70.781511503836441</v>
      </c>
      <c r="L23" s="30" t="s">
        <v>6</v>
      </c>
    </row>
    <row r="24" spans="1:12" x14ac:dyDescent="0.3">
      <c r="B24" t="s">
        <v>66</v>
      </c>
      <c r="C24" s="17">
        <f>C19+C23</f>
        <v>10.791812460476251</v>
      </c>
      <c r="D24" s="11" t="s">
        <v>6</v>
      </c>
    </row>
    <row r="25" spans="1:12" x14ac:dyDescent="0.3">
      <c r="F25" s="11" t="s">
        <v>71</v>
      </c>
      <c r="G25" s="17">
        <f>G40</f>
        <v>21.197888582883934</v>
      </c>
      <c r="H25" s="25" t="s">
        <v>7</v>
      </c>
      <c r="J25" s="11" t="s">
        <v>22</v>
      </c>
      <c r="K25" s="17">
        <f>G25</f>
        <v>21.197888582883934</v>
      </c>
      <c r="L25" s="25" t="s">
        <v>7</v>
      </c>
    </row>
    <row r="26" spans="1:12" x14ac:dyDescent="0.3">
      <c r="B26" t="s">
        <v>67</v>
      </c>
      <c r="C26" s="22">
        <f>COMMISSIONING!E45</f>
        <v>-9.9999999999999995E-7</v>
      </c>
      <c r="D26" s="11" t="s">
        <v>7</v>
      </c>
      <c r="E26" s="10" t="s">
        <v>44</v>
      </c>
      <c r="J26" s="11" t="s">
        <v>39</v>
      </c>
      <c r="K26" s="17">
        <f>10*LOG(K27)</f>
        <v>3.0102999566398121</v>
      </c>
      <c r="L26" s="25" t="s">
        <v>7</v>
      </c>
    </row>
    <row r="27" spans="1:12" x14ac:dyDescent="0.3">
      <c r="A27" t="s">
        <v>27</v>
      </c>
      <c r="B27" t="s">
        <v>52</v>
      </c>
      <c r="C27" s="22">
        <f>COMMISSIONING!E46</f>
        <v>-6</v>
      </c>
      <c r="D27" s="11" t="s">
        <v>7</v>
      </c>
      <c r="E27" t="s">
        <v>13</v>
      </c>
      <c r="F27" s="14" t="s">
        <v>69</v>
      </c>
      <c r="G27" s="29">
        <f>SUM(G28:G29)</f>
        <v>-75.208187539523749</v>
      </c>
      <c r="H27" s="30" t="s">
        <v>6</v>
      </c>
      <c r="J27" s="13" t="s">
        <v>24</v>
      </c>
      <c r="K27" s="24">
        <f>COMMISSIONING!E41</f>
        <v>2</v>
      </c>
      <c r="L27" s="28" t="s">
        <v>25</v>
      </c>
    </row>
    <row r="28" spans="1:12" x14ac:dyDescent="0.3">
      <c r="A28" s="3" t="s">
        <v>27</v>
      </c>
      <c r="B28" s="3" t="s">
        <v>18</v>
      </c>
      <c r="C28" s="23">
        <f>SUM(C24,C26:C27)</f>
        <v>4.7918114604762518</v>
      </c>
      <c r="D28" s="16" t="s">
        <v>6</v>
      </c>
      <c r="F28" s="11" t="s">
        <v>32</v>
      </c>
      <c r="G28" s="17">
        <f>C33</f>
        <v>-99.208187539523749</v>
      </c>
      <c r="H28" s="25" t="s">
        <v>7</v>
      </c>
      <c r="J28" s="11" t="s">
        <v>38</v>
      </c>
      <c r="K28" s="22">
        <f>COMMISSIONING!E50</f>
        <v>6</v>
      </c>
      <c r="L28" s="25" t="s">
        <v>7</v>
      </c>
    </row>
    <row r="29" spans="1:12" x14ac:dyDescent="0.3">
      <c r="A29" t="s">
        <v>27</v>
      </c>
      <c r="F29" s="11" t="s">
        <v>45</v>
      </c>
      <c r="G29" s="22">
        <f>COMMISSIONING!E48</f>
        <v>24</v>
      </c>
      <c r="H29" s="25" t="s">
        <v>6</v>
      </c>
      <c r="J29" s="11" t="s">
        <v>37</v>
      </c>
      <c r="K29" s="17">
        <f>-174 + 10*LOG(C6)+60</f>
        <v>-100.98970004336019</v>
      </c>
      <c r="L29" s="25" t="s">
        <v>6</v>
      </c>
    </row>
    <row r="30" spans="1:12" x14ac:dyDescent="0.3">
      <c r="B30" t="s">
        <v>20</v>
      </c>
      <c r="C30" s="17">
        <f>MIN(C28+36,27)</f>
        <v>27</v>
      </c>
      <c r="D30" s="11" t="s">
        <v>6</v>
      </c>
      <c r="E30" t="s">
        <v>13</v>
      </c>
    </row>
    <row r="31" spans="1:12" x14ac:dyDescent="0.3">
      <c r="A31" t="s">
        <v>28</v>
      </c>
      <c r="B31" s="3" t="s">
        <v>21</v>
      </c>
      <c r="C31" s="23">
        <f>C30-C28</f>
        <v>22.208188539523746</v>
      </c>
      <c r="D31" s="16" t="s">
        <v>7</v>
      </c>
    </row>
    <row r="32" spans="1:12" ht="15" thickBot="1" x14ac:dyDescent="0.35">
      <c r="A32" t="s">
        <v>28</v>
      </c>
      <c r="I32" s="10" t="s">
        <v>44</v>
      </c>
    </row>
    <row r="33" spans="1:12" x14ac:dyDescent="0.3">
      <c r="A33" s="3" t="s">
        <v>28</v>
      </c>
      <c r="B33" t="s">
        <v>89</v>
      </c>
      <c r="C33" s="22">
        <f>COMMISSIONING!E47</f>
        <v>-99.208187539523749</v>
      </c>
      <c r="D33" s="11" t="s">
        <v>7</v>
      </c>
      <c r="F33" s="45" t="s">
        <v>70</v>
      </c>
      <c r="G33" s="34"/>
      <c r="H33" s="35"/>
      <c r="J33" s="45" t="s">
        <v>49</v>
      </c>
      <c r="K33" s="34"/>
      <c r="L33" s="35"/>
    </row>
    <row r="34" spans="1:12" x14ac:dyDescent="0.3">
      <c r="A34" t="s">
        <v>28</v>
      </c>
      <c r="B34" s="3" t="s">
        <v>30</v>
      </c>
      <c r="C34" s="23">
        <f>C30+C33</f>
        <v>-72.208187539523749</v>
      </c>
      <c r="D34" s="16" t="s">
        <v>6</v>
      </c>
      <c r="F34" s="36"/>
      <c r="H34" s="37"/>
      <c r="J34" s="36"/>
      <c r="L34" s="37"/>
    </row>
    <row r="35" spans="1:12" x14ac:dyDescent="0.3">
      <c r="A35" t="s">
        <v>28</v>
      </c>
      <c r="B35" t="s">
        <v>31</v>
      </c>
      <c r="C35" s="17">
        <f>C34-C12</f>
        <v>-103</v>
      </c>
      <c r="D35" s="11" t="s">
        <v>8</v>
      </c>
      <c r="F35" s="36" t="s">
        <v>56</v>
      </c>
      <c r="G35" s="22">
        <f>COMMISSIONING!E32</f>
        <v>2</v>
      </c>
      <c r="H35" s="37" t="s">
        <v>7</v>
      </c>
      <c r="J35" s="36" t="s">
        <v>41</v>
      </c>
      <c r="K35" s="17">
        <f>K29</f>
        <v>-100.98970004336019</v>
      </c>
      <c r="L35" s="37" t="s">
        <v>6</v>
      </c>
    </row>
    <row r="36" spans="1:12" x14ac:dyDescent="0.3">
      <c r="A36" s="3" t="s">
        <v>28</v>
      </c>
      <c r="F36" s="36" t="s">
        <v>57</v>
      </c>
      <c r="G36" s="17">
        <f>-10*LOG(G37)</f>
        <v>-3.0102999566398121</v>
      </c>
      <c r="H36" s="37" t="s">
        <v>7</v>
      </c>
      <c r="J36" s="38" t="s">
        <v>42</v>
      </c>
      <c r="K36" s="62">
        <f>COMMISSIONING!E49</f>
        <v>0</v>
      </c>
      <c r="L36" s="39" t="s">
        <v>7</v>
      </c>
    </row>
    <row r="37" spans="1:12" x14ac:dyDescent="0.3">
      <c r="F37" s="51" t="s">
        <v>58</v>
      </c>
      <c r="G37" s="52">
        <f>COMMISSIONING!E41</f>
        <v>2</v>
      </c>
      <c r="H37" s="53" t="s">
        <v>25</v>
      </c>
      <c r="J37" s="36" t="s">
        <v>43</v>
      </c>
      <c r="K37" s="17">
        <f>SUM(K35:K36)</f>
        <v>-100.98970004336019</v>
      </c>
      <c r="L37" s="37" t="s">
        <v>6</v>
      </c>
    </row>
    <row r="38" spans="1:12" x14ac:dyDescent="0.3">
      <c r="F38" s="36" t="s">
        <v>23</v>
      </c>
      <c r="G38" s="17">
        <f>C31</f>
        <v>22.208188539523746</v>
      </c>
      <c r="H38" s="37" t="s">
        <v>7</v>
      </c>
      <c r="J38" s="36"/>
      <c r="L38" s="37"/>
    </row>
    <row r="39" spans="1:12" x14ac:dyDescent="0.3">
      <c r="A39" s="3"/>
      <c r="F39" s="36"/>
      <c r="H39" s="37"/>
      <c r="J39" s="38" t="s">
        <v>47</v>
      </c>
      <c r="K39" s="29">
        <f>K7</f>
        <v>-107.01029995663981</v>
      </c>
      <c r="L39" s="39" t="s">
        <v>6</v>
      </c>
    </row>
    <row r="40" spans="1:12" x14ac:dyDescent="0.3">
      <c r="F40" s="54" t="s">
        <v>22</v>
      </c>
      <c r="G40" s="23">
        <f>G38+G36+G35</f>
        <v>21.197888582883934</v>
      </c>
      <c r="H40" s="55" t="s">
        <v>7</v>
      </c>
      <c r="J40" s="36" t="s">
        <v>46</v>
      </c>
      <c r="K40" s="17">
        <f>10*LOG(10^(K37/10)+10^(K39/10))</f>
        <v>-100.02059991327963</v>
      </c>
      <c r="L40" s="37" t="s">
        <v>6</v>
      </c>
    </row>
    <row r="41" spans="1:12" x14ac:dyDescent="0.3">
      <c r="F41" s="36"/>
      <c r="H41" s="37"/>
      <c r="J41" s="36"/>
      <c r="L41" s="37"/>
    </row>
    <row r="42" spans="1:12" x14ac:dyDescent="0.3">
      <c r="F42" s="36"/>
      <c r="H42" s="37"/>
      <c r="J42" s="40" t="s">
        <v>48</v>
      </c>
      <c r="K42" s="32">
        <f>K40-K37</f>
        <v>0.96910013008056239</v>
      </c>
      <c r="L42" s="41" t="s">
        <v>7</v>
      </c>
    </row>
    <row r="43" spans="1:12" ht="15" thickBot="1" x14ac:dyDescent="0.35">
      <c r="F43" s="42"/>
      <c r="G43" s="43"/>
      <c r="H43" s="44"/>
      <c r="J43" s="42"/>
      <c r="K43" s="43"/>
      <c r="L43" s="44"/>
    </row>
  </sheetData>
  <mergeCells count="3">
    <mergeCell ref="B3:D3"/>
    <mergeCell ref="F3:H3"/>
    <mergeCell ref="J3:L3"/>
  </mergeCells>
  <pageMargins left="0.7" right="0.7" top="0.75" bottom="0.75" header="0.3" footer="0.3"/>
  <pageSetup orientation="portrait" horizontalDpi="0" verticalDpi="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E00A-FD24-44E8-8EAD-A72056C3BFF4}">
  <dimension ref="A1:L43"/>
  <sheetViews>
    <sheetView topLeftCell="B15" workbookViewId="0">
      <selection activeCell="C30" sqref="C30"/>
    </sheetView>
  </sheetViews>
  <sheetFormatPr defaultRowHeight="14.4" x14ac:dyDescent="0.3"/>
  <cols>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COMMISSIONING!C55</f>
        <v>LTE-1900</v>
      </c>
      <c r="D5" s="13"/>
      <c r="J5" s="31" t="s">
        <v>48</v>
      </c>
      <c r="K5" s="32">
        <f>K42</f>
        <v>0.63610789419288949</v>
      </c>
      <c r="L5" s="33" t="s">
        <v>7</v>
      </c>
    </row>
    <row r="6" spans="1:12" x14ac:dyDescent="0.3">
      <c r="A6" t="s">
        <v>26</v>
      </c>
      <c r="B6" s="4" t="s">
        <v>10</v>
      </c>
      <c r="C6" s="96">
        <f>COMMISSIONING!C56</f>
        <v>15</v>
      </c>
      <c r="D6" s="13" t="s">
        <v>11</v>
      </c>
      <c r="F6" s="11" t="s">
        <v>101</v>
      </c>
      <c r="G6" s="17">
        <f>-108-K39</f>
        <v>2.2596873227228116</v>
      </c>
      <c r="H6" s="25" t="s">
        <v>7</v>
      </c>
    </row>
    <row r="7" spans="1:12" x14ac:dyDescent="0.3">
      <c r="A7" t="s">
        <v>26</v>
      </c>
      <c r="B7" s="4" t="s">
        <v>15</v>
      </c>
      <c r="C7" s="24">
        <v>40</v>
      </c>
      <c r="D7" s="13" t="s">
        <v>5</v>
      </c>
      <c r="J7" s="14" t="s">
        <v>72</v>
      </c>
      <c r="K7" s="29">
        <f>K12+K14+K15</f>
        <v>-110.25968732272281</v>
      </c>
      <c r="L7" s="30" t="s">
        <v>6</v>
      </c>
    </row>
    <row r="8" spans="1:12" x14ac:dyDescent="0.3">
      <c r="A8" t="s">
        <v>26</v>
      </c>
      <c r="B8" t="s">
        <v>15</v>
      </c>
      <c r="C8" s="23">
        <f>10*LOG(C7)+30</f>
        <v>46.020599913279625</v>
      </c>
      <c r="D8" s="11" t="s">
        <v>6</v>
      </c>
      <c r="F8" s="11" t="s">
        <v>99</v>
      </c>
      <c r="G8" s="17">
        <f>G9-K37</f>
        <v>10</v>
      </c>
      <c r="H8" s="25" t="s">
        <v>7</v>
      </c>
    </row>
    <row r="9" spans="1:12" x14ac:dyDescent="0.3">
      <c r="A9" t="s">
        <v>26</v>
      </c>
      <c r="F9" s="14" t="s">
        <v>35</v>
      </c>
      <c r="G9" s="29">
        <f>G12+G14+G15</f>
        <v>-92.239087409443187</v>
      </c>
      <c r="H9" s="30" t="s">
        <v>6</v>
      </c>
    </row>
    <row r="10" spans="1:12" x14ac:dyDescent="0.3">
      <c r="A10" s="3" t="s">
        <v>26</v>
      </c>
      <c r="B10" t="s">
        <v>80</v>
      </c>
      <c r="C10" s="22">
        <f>COMMISSIONING!C59</f>
        <v>0</v>
      </c>
      <c r="D10" s="11" t="s">
        <v>8</v>
      </c>
      <c r="E10" s="10"/>
    </row>
    <row r="11" spans="1:12" x14ac:dyDescent="0.3">
      <c r="A11" t="s">
        <v>26</v>
      </c>
    </row>
    <row r="12" spans="1:12" x14ac:dyDescent="0.3">
      <c r="A12" t="s">
        <v>26</v>
      </c>
      <c r="B12" t="s">
        <v>12</v>
      </c>
      <c r="C12" s="17">
        <f>10*LOG(60*C6)</f>
        <v>29.542425094393248</v>
      </c>
      <c r="D12" s="11" t="s">
        <v>7</v>
      </c>
      <c r="F12" s="11" t="s">
        <v>90</v>
      </c>
      <c r="G12" s="17">
        <f>C14</f>
        <v>-16.478174818886377</v>
      </c>
      <c r="H12" s="25" t="s">
        <v>7</v>
      </c>
      <c r="J12" s="11" t="s">
        <v>90</v>
      </c>
      <c r="K12" s="17">
        <f>G12</f>
        <v>-16.478174818886377</v>
      </c>
      <c r="L12" s="25" t="s">
        <v>7</v>
      </c>
    </row>
    <row r="13" spans="1:12" x14ac:dyDescent="0.3">
      <c r="A13" t="s">
        <v>26</v>
      </c>
      <c r="B13" s="59" t="s">
        <v>84</v>
      </c>
      <c r="C13" s="60">
        <f>C12+C10</f>
        <v>29.542425094393248</v>
      </c>
      <c r="D13" s="61" t="s">
        <v>81</v>
      </c>
    </row>
    <row r="14" spans="1:12" x14ac:dyDescent="0.3">
      <c r="A14" t="s">
        <v>26</v>
      </c>
      <c r="B14" t="s">
        <v>82</v>
      </c>
      <c r="C14" s="17">
        <f>-(C8-C13)</f>
        <v>-16.478174818886377</v>
      </c>
      <c r="D14" s="11" t="s">
        <v>7</v>
      </c>
      <c r="F14" s="11" t="s">
        <v>91</v>
      </c>
      <c r="G14" s="17">
        <f>C18</f>
        <v>-20</v>
      </c>
      <c r="H14" s="25" t="s">
        <v>7</v>
      </c>
      <c r="J14" s="11" t="s">
        <v>68</v>
      </c>
      <c r="K14" s="17">
        <f>G14</f>
        <v>-20</v>
      </c>
      <c r="L14" s="25" t="s">
        <v>7</v>
      </c>
    </row>
    <row r="15" spans="1:12" x14ac:dyDescent="0.3">
      <c r="A15" s="59" t="s">
        <v>26</v>
      </c>
      <c r="C15" s="29"/>
      <c r="F15" s="14" t="s">
        <v>53</v>
      </c>
      <c r="G15" s="29">
        <f>SUM(G18:G19)</f>
        <v>-55.760912590556813</v>
      </c>
      <c r="H15" s="30" t="s">
        <v>6</v>
      </c>
      <c r="J15" s="14" t="s">
        <v>54</v>
      </c>
      <c r="K15" s="29">
        <f>SUM(K17:K19)</f>
        <v>-73.781512503836439</v>
      </c>
      <c r="L15" s="30" t="s">
        <v>6</v>
      </c>
    </row>
    <row r="16" spans="1:12" x14ac:dyDescent="0.3">
      <c r="A16" t="s">
        <v>26</v>
      </c>
      <c r="B16" s="3" t="s">
        <v>85</v>
      </c>
      <c r="C16" s="17">
        <f>C22-C21+2</f>
        <v>-78</v>
      </c>
      <c r="D16" s="16" t="s">
        <v>6</v>
      </c>
    </row>
    <row r="17" spans="1:12" x14ac:dyDescent="0.3">
      <c r="A17" t="s">
        <v>26</v>
      </c>
      <c r="B17" t="s">
        <v>88</v>
      </c>
      <c r="C17" s="32">
        <f>ROUND(C16-C13,0)</f>
        <v>-108</v>
      </c>
      <c r="D17" s="31" t="s">
        <v>7</v>
      </c>
      <c r="J17" s="11" t="s">
        <v>50</v>
      </c>
      <c r="K17" s="22">
        <f>COMMISSIONING!C51</f>
        <v>5</v>
      </c>
      <c r="L17" s="25" t="s">
        <v>7</v>
      </c>
    </row>
    <row r="18" spans="1:12" x14ac:dyDescent="0.3">
      <c r="A18" t="s">
        <v>26</v>
      </c>
      <c r="B18" t="s">
        <v>92</v>
      </c>
      <c r="C18" s="22">
        <f>COMMISSIONING!C63</f>
        <v>-20</v>
      </c>
      <c r="D18" s="11" t="s">
        <v>7</v>
      </c>
      <c r="F18" s="11" t="s">
        <v>34</v>
      </c>
      <c r="G18" s="17">
        <f>C23</f>
        <v>0.45757490560675151</v>
      </c>
      <c r="H18" s="25" t="s">
        <v>6</v>
      </c>
      <c r="J18" s="11" t="s">
        <v>34</v>
      </c>
      <c r="K18" s="17">
        <f>G18</f>
        <v>0.45757490560675151</v>
      </c>
      <c r="L18" s="25" t="s">
        <v>6</v>
      </c>
    </row>
    <row r="19" spans="1:12" x14ac:dyDescent="0.3">
      <c r="A19" t="s">
        <v>26</v>
      </c>
      <c r="B19" t="s">
        <v>86</v>
      </c>
      <c r="C19" s="17">
        <f>C13+C18</f>
        <v>9.5424250943932485</v>
      </c>
      <c r="D19" s="11" t="s">
        <v>6</v>
      </c>
      <c r="F19" s="14" t="s">
        <v>55</v>
      </c>
      <c r="G19" s="29">
        <f>SUM(G20:G23)</f>
        <v>-56.218487496163561</v>
      </c>
      <c r="H19" s="30" t="s">
        <v>6</v>
      </c>
      <c r="J19" s="14" t="s">
        <v>51</v>
      </c>
      <c r="K19" s="29">
        <f>SUM(K20:K23)</f>
        <v>-79.239087409443187</v>
      </c>
      <c r="L19" s="30" t="s">
        <v>6</v>
      </c>
    </row>
    <row r="20" spans="1:12" x14ac:dyDescent="0.3">
      <c r="A20" t="s">
        <v>26</v>
      </c>
    </row>
    <row r="21" spans="1:12" x14ac:dyDescent="0.3">
      <c r="A21" s="3" t="s">
        <v>26</v>
      </c>
      <c r="B21" s="4" t="s">
        <v>95</v>
      </c>
      <c r="C21" s="21">
        <v>90</v>
      </c>
      <c r="D21" s="13" t="s">
        <v>7</v>
      </c>
      <c r="F21" s="11" t="s">
        <v>67</v>
      </c>
      <c r="G21" s="17">
        <f>C26</f>
        <v>-9.9999999999999995E-7</v>
      </c>
      <c r="H21" s="25" t="s">
        <v>7</v>
      </c>
      <c r="J21" s="11" t="s">
        <v>67</v>
      </c>
      <c r="K21" s="17">
        <f>G21</f>
        <v>-9.9999999999999995E-7</v>
      </c>
      <c r="L21" s="25" t="s">
        <v>7</v>
      </c>
    </row>
    <row r="22" spans="1:12" x14ac:dyDescent="0.3">
      <c r="B22" s="4" t="s">
        <v>19</v>
      </c>
      <c r="C22" s="21">
        <f>COMMISSIONING!C66</f>
        <v>10</v>
      </c>
      <c r="D22" s="13" t="s">
        <v>6</v>
      </c>
      <c r="E22" s="10" t="s">
        <v>44</v>
      </c>
      <c r="F22" s="11" t="s">
        <v>52</v>
      </c>
      <c r="G22" s="17">
        <f>C27</f>
        <v>-6</v>
      </c>
      <c r="H22" s="25" t="s">
        <v>7</v>
      </c>
      <c r="J22" s="11" t="s">
        <v>52</v>
      </c>
      <c r="K22" s="17">
        <f>G22</f>
        <v>-6</v>
      </c>
      <c r="L22" s="25" t="s">
        <v>7</v>
      </c>
    </row>
    <row r="23" spans="1:12" x14ac:dyDescent="0.3">
      <c r="B23" s="3" t="s">
        <v>87</v>
      </c>
      <c r="C23" s="23">
        <f>MIN(C22-C19,C21)</f>
        <v>0.45757490560675151</v>
      </c>
      <c r="D23" s="16" t="s">
        <v>7</v>
      </c>
      <c r="F23" s="14" t="s">
        <v>33</v>
      </c>
      <c r="G23" s="29">
        <f>SUM(G25:G27)</f>
        <v>-50.218486496163564</v>
      </c>
      <c r="H23" s="30" t="s">
        <v>6</v>
      </c>
      <c r="J23" s="14" t="s">
        <v>40</v>
      </c>
      <c r="K23" s="29">
        <f>SUM(K28:K29)+SUM(K25:K26)</f>
        <v>-73.239086409443189</v>
      </c>
      <c r="L23" s="30" t="s">
        <v>6</v>
      </c>
    </row>
    <row r="24" spans="1:12" x14ac:dyDescent="0.3">
      <c r="B24" t="s">
        <v>66</v>
      </c>
      <c r="C24" s="17">
        <f>C19+C23</f>
        <v>10</v>
      </c>
      <c r="D24" s="11" t="s">
        <v>6</v>
      </c>
    </row>
    <row r="25" spans="1:12" x14ac:dyDescent="0.3">
      <c r="F25" s="11" t="s">
        <v>71</v>
      </c>
      <c r="G25" s="17">
        <f>G40</f>
        <v>19.989701043360185</v>
      </c>
      <c r="H25" s="25" t="s">
        <v>7</v>
      </c>
      <c r="J25" s="11" t="s">
        <v>22</v>
      </c>
      <c r="K25" s="17">
        <f>G25</f>
        <v>19.989701043360185</v>
      </c>
      <c r="L25" s="25" t="s">
        <v>7</v>
      </c>
    </row>
    <row r="26" spans="1:12" x14ac:dyDescent="0.3">
      <c r="B26" t="s">
        <v>67</v>
      </c>
      <c r="C26" s="22">
        <f>COMMISSIONING!C81</f>
        <v>-9.9999999999999995E-7</v>
      </c>
      <c r="D26" s="11" t="s">
        <v>7</v>
      </c>
      <c r="E26" s="10" t="s">
        <v>44</v>
      </c>
      <c r="J26" s="11" t="s">
        <v>39</v>
      </c>
      <c r="K26" s="17">
        <f>10*LOG(K27)</f>
        <v>3.0102999566398121</v>
      </c>
      <c r="L26" s="25" t="s">
        <v>7</v>
      </c>
    </row>
    <row r="27" spans="1:12" x14ac:dyDescent="0.3">
      <c r="A27" t="s">
        <v>27</v>
      </c>
      <c r="B27" t="s">
        <v>143</v>
      </c>
      <c r="C27" s="22">
        <f>COMMISSIONING!C46</f>
        <v>-6</v>
      </c>
      <c r="D27" s="11" t="s">
        <v>7</v>
      </c>
      <c r="E27" t="s">
        <v>13</v>
      </c>
      <c r="F27" s="14" t="s">
        <v>69</v>
      </c>
      <c r="G27" s="29">
        <f>SUM(G28:G29)</f>
        <v>-70.208187539523749</v>
      </c>
      <c r="H27" s="30" t="s">
        <v>6</v>
      </c>
      <c r="J27" s="13" t="s">
        <v>24</v>
      </c>
      <c r="K27" s="24">
        <f>COMMISSIONING!C41</f>
        <v>2</v>
      </c>
      <c r="L27" s="28" t="s">
        <v>25</v>
      </c>
    </row>
    <row r="28" spans="1:12" x14ac:dyDescent="0.3">
      <c r="A28" s="3" t="s">
        <v>27</v>
      </c>
      <c r="B28" s="3" t="s">
        <v>18</v>
      </c>
      <c r="C28" s="23">
        <f>SUM(C24,C26:C27)</f>
        <v>3.9999990000000007</v>
      </c>
      <c r="D28" s="16" t="s">
        <v>6</v>
      </c>
      <c r="F28" s="11" t="s">
        <v>32</v>
      </c>
      <c r="G28" s="17">
        <f>C33</f>
        <v>-94.208187539523749</v>
      </c>
      <c r="H28" s="25" t="s">
        <v>7</v>
      </c>
      <c r="J28" s="11" t="s">
        <v>38</v>
      </c>
      <c r="K28" s="22">
        <f>COMMISSIONING!C50</f>
        <v>6</v>
      </c>
      <c r="L28" s="25" t="s">
        <v>7</v>
      </c>
    </row>
    <row r="29" spans="1:12" x14ac:dyDescent="0.3">
      <c r="A29" t="s">
        <v>27</v>
      </c>
      <c r="F29" s="11" t="s">
        <v>45</v>
      </c>
      <c r="G29" s="22">
        <f>COMMISSIONING!C48</f>
        <v>24</v>
      </c>
      <c r="H29" s="25" t="s">
        <v>6</v>
      </c>
      <c r="J29" s="11" t="s">
        <v>37</v>
      </c>
      <c r="K29" s="17">
        <f>-174 + 10*LOG(C6)+60</f>
        <v>-102.23908740944319</v>
      </c>
      <c r="L29" s="25" t="s">
        <v>6</v>
      </c>
    </row>
    <row r="30" spans="1:12" x14ac:dyDescent="0.3">
      <c r="B30" t="s">
        <v>20</v>
      </c>
      <c r="C30" s="17">
        <f>MIN(C28+36,27)</f>
        <v>27</v>
      </c>
      <c r="D30" s="11" t="s">
        <v>6</v>
      </c>
      <c r="E30" t="s">
        <v>13</v>
      </c>
    </row>
    <row r="31" spans="1:12" x14ac:dyDescent="0.3">
      <c r="A31" t="s">
        <v>28</v>
      </c>
      <c r="B31" s="3" t="s">
        <v>21</v>
      </c>
      <c r="C31" s="23">
        <f>C30-C28</f>
        <v>23.000000999999997</v>
      </c>
      <c r="D31" s="16" t="s">
        <v>7</v>
      </c>
    </row>
    <row r="32" spans="1:12" ht="15" thickBot="1" x14ac:dyDescent="0.35">
      <c r="A32" t="s">
        <v>28</v>
      </c>
      <c r="I32" s="10" t="s">
        <v>44</v>
      </c>
    </row>
    <row r="33" spans="1:12" x14ac:dyDescent="0.3">
      <c r="A33" s="3" t="s">
        <v>28</v>
      </c>
      <c r="B33" t="s">
        <v>89</v>
      </c>
      <c r="C33" s="22">
        <f>COMMISSIONING!C47</f>
        <v>-94.208187539523749</v>
      </c>
      <c r="D33" s="11" t="s">
        <v>7</v>
      </c>
      <c r="F33" s="45" t="s">
        <v>70</v>
      </c>
      <c r="G33" s="34"/>
      <c r="H33" s="35"/>
      <c r="J33" s="45" t="s">
        <v>49</v>
      </c>
      <c r="K33" s="34"/>
      <c r="L33" s="35"/>
    </row>
    <row r="34" spans="1:12" x14ac:dyDescent="0.3">
      <c r="A34" t="s">
        <v>28</v>
      </c>
      <c r="B34" s="3" t="s">
        <v>30</v>
      </c>
      <c r="C34" s="23">
        <f>C30+C33</f>
        <v>-67.208187539523749</v>
      </c>
      <c r="D34" s="16" t="s">
        <v>6</v>
      </c>
      <c r="F34" s="36"/>
      <c r="H34" s="37"/>
      <c r="J34" s="36"/>
      <c r="L34" s="37"/>
    </row>
    <row r="35" spans="1:12" x14ac:dyDescent="0.3">
      <c r="A35" t="s">
        <v>28</v>
      </c>
      <c r="B35" t="s">
        <v>31</v>
      </c>
      <c r="C35" s="17">
        <f>C34-C12</f>
        <v>-96.750612633917001</v>
      </c>
      <c r="D35" s="11" t="s">
        <v>8</v>
      </c>
      <c r="F35" s="36" t="s">
        <v>56</v>
      </c>
      <c r="G35" s="22">
        <f>COMMISSIONING!C70</f>
        <v>0</v>
      </c>
      <c r="H35" s="37" t="s">
        <v>7</v>
      </c>
      <c r="J35" s="36" t="s">
        <v>41</v>
      </c>
      <c r="K35" s="17">
        <f>K29</f>
        <v>-102.23908740944319</v>
      </c>
      <c r="L35" s="37" t="s">
        <v>6</v>
      </c>
    </row>
    <row r="36" spans="1:12" x14ac:dyDescent="0.3">
      <c r="A36" s="3" t="s">
        <v>28</v>
      </c>
      <c r="F36" s="36" t="s">
        <v>57</v>
      </c>
      <c r="G36" s="17">
        <f>-10*LOG(G37)</f>
        <v>-3.0102999566398121</v>
      </c>
      <c r="H36" s="37" t="s">
        <v>7</v>
      </c>
      <c r="J36" s="38" t="s">
        <v>42</v>
      </c>
      <c r="K36" s="62">
        <f>COMMISSIONING!C85</f>
        <v>0</v>
      </c>
      <c r="L36" s="39" t="s">
        <v>7</v>
      </c>
    </row>
    <row r="37" spans="1:12" x14ac:dyDescent="0.3">
      <c r="F37" s="51" t="s">
        <v>58</v>
      </c>
      <c r="G37" s="52">
        <f>COMMISSIONING!C41</f>
        <v>2</v>
      </c>
      <c r="H37" s="53" t="s">
        <v>25</v>
      </c>
      <c r="J37" s="36" t="s">
        <v>43</v>
      </c>
      <c r="K37" s="17">
        <f>SUM(K35:K36)</f>
        <v>-102.23908740944319</v>
      </c>
      <c r="L37" s="37" t="s">
        <v>6</v>
      </c>
    </row>
    <row r="38" spans="1:12" x14ac:dyDescent="0.3">
      <c r="F38" s="36" t="s">
        <v>23</v>
      </c>
      <c r="G38" s="17">
        <f>C31</f>
        <v>23.000000999999997</v>
      </c>
      <c r="H38" s="37" t="s">
        <v>7</v>
      </c>
      <c r="J38" s="36"/>
      <c r="L38" s="37"/>
    </row>
    <row r="39" spans="1:12" x14ac:dyDescent="0.3">
      <c r="A39" s="3"/>
      <c r="F39" s="36"/>
      <c r="H39" s="37"/>
      <c r="J39" s="38" t="s">
        <v>47</v>
      </c>
      <c r="K39" s="29">
        <f>K7</f>
        <v>-110.25968732272281</v>
      </c>
      <c r="L39" s="39" t="s">
        <v>6</v>
      </c>
    </row>
    <row r="40" spans="1:12" x14ac:dyDescent="0.3">
      <c r="F40" s="54" t="s">
        <v>22</v>
      </c>
      <c r="G40" s="23">
        <f>G38+G36+G35</f>
        <v>19.989701043360185</v>
      </c>
      <c r="H40" s="55" t="s">
        <v>7</v>
      </c>
      <c r="J40" s="36" t="s">
        <v>46</v>
      </c>
      <c r="K40" s="17">
        <f>10*LOG(10^(K37/10)+10^(K39/10))</f>
        <v>-101.6029795152503</v>
      </c>
      <c r="L40" s="37" t="s">
        <v>6</v>
      </c>
    </row>
    <row r="41" spans="1:12" x14ac:dyDescent="0.3">
      <c r="F41" s="36"/>
      <c r="H41" s="37"/>
      <c r="J41" s="36"/>
      <c r="L41" s="37"/>
    </row>
    <row r="42" spans="1:12" x14ac:dyDescent="0.3">
      <c r="F42" s="36"/>
      <c r="H42" s="37"/>
      <c r="J42" s="40" t="s">
        <v>48</v>
      </c>
      <c r="K42" s="32">
        <f>K40-K37</f>
        <v>0.63610789419288949</v>
      </c>
      <c r="L42" s="41" t="s">
        <v>7</v>
      </c>
    </row>
    <row r="43" spans="1:12" ht="15" thickBot="1" x14ac:dyDescent="0.35">
      <c r="F43" s="42"/>
      <c r="G43" s="43"/>
      <c r="H43" s="44"/>
      <c r="J43" s="42"/>
      <c r="K43" s="43"/>
      <c r="L43" s="44"/>
    </row>
  </sheetData>
  <mergeCells count="3">
    <mergeCell ref="B3:D3"/>
    <mergeCell ref="F3:H3"/>
    <mergeCell ref="J3:L3"/>
  </mergeCells>
  <pageMargins left="0.7" right="0.7" top="0.75" bottom="0.75" header="0.3" footer="0.3"/>
  <pageSetup orientation="portrait" horizontalDpi="0" verticalDpi="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C948-6B2A-4197-B94F-13365F2506E4}">
  <dimension ref="A1:L43"/>
  <sheetViews>
    <sheetView topLeftCell="A19" workbookViewId="0">
      <selection activeCell="C30" sqref="C30"/>
    </sheetView>
  </sheetViews>
  <sheetFormatPr defaultRowHeight="14.4" x14ac:dyDescent="0.3"/>
  <cols>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COMMISSIONING!D55</f>
        <v>LTE-2100</v>
      </c>
      <c r="D5" s="13"/>
      <c r="J5" s="31" t="s">
        <v>48</v>
      </c>
      <c r="K5" s="32">
        <f>K42</f>
        <v>0.63610789419288949</v>
      </c>
      <c r="L5" s="33" t="s">
        <v>7</v>
      </c>
    </row>
    <row r="6" spans="1:12" x14ac:dyDescent="0.3">
      <c r="A6" t="s">
        <v>26</v>
      </c>
      <c r="B6" s="4" t="s">
        <v>10</v>
      </c>
      <c r="C6" s="96">
        <f>COMMISSIONING!D56</f>
        <v>15</v>
      </c>
      <c r="D6" s="13" t="s">
        <v>11</v>
      </c>
      <c r="F6" s="11" t="s">
        <v>101</v>
      </c>
      <c r="G6" s="17">
        <f>-106-K39</f>
        <v>4.2596873227228116</v>
      </c>
      <c r="H6" s="25" t="s">
        <v>7</v>
      </c>
    </row>
    <row r="7" spans="1:12" x14ac:dyDescent="0.3">
      <c r="A7" t="s">
        <v>26</v>
      </c>
      <c r="B7" s="4" t="s">
        <v>15</v>
      </c>
      <c r="C7" s="24">
        <v>40</v>
      </c>
      <c r="D7" s="13" t="s">
        <v>5</v>
      </c>
      <c r="J7" s="14" t="s">
        <v>72</v>
      </c>
      <c r="K7" s="29">
        <f>K12+K14+K15</f>
        <v>-110.25968732272281</v>
      </c>
      <c r="L7" s="30" t="s">
        <v>6</v>
      </c>
    </row>
    <row r="8" spans="1:12" x14ac:dyDescent="0.3">
      <c r="A8" t="s">
        <v>26</v>
      </c>
      <c r="B8" t="s">
        <v>15</v>
      </c>
      <c r="C8" s="23">
        <f>10*LOG(C7)+30</f>
        <v>46.020599913279625</v>
      </c>
      <c r="D8" s="11" t="s">
        <v>6</v>
      </c>
      <c r="F8" s="11" t="s">
        <v>99</v>
      </c>
      <c r="G8" s="17">
        <f>G9-K37</f>
        <v>7.7506126339170009</v>
      </c>
      <c r="H8" s="25" t="s">
        <v>7</v>
      </c>
    </row>
    <row r="9" spans="1:12" x14ac:dyDescent="0.3">
      <c r="A9" t="s">
        <v>26</v>
      </c>
      <c r="F9" s="14" t="s">
        <v>35</v>
      </c>
      <c r="G9" s="29">
        <f>G12+G14+G15</f>
        <v>-94.488474775526186</v>
      </c>
      <c r="H9" s="30" t="s">
        <v>6</v>
      </c>
    </row>
    <row r="10" spans="1:12" x14ac:dyDescent="0.3">
      <c r="A10" s="3" t="s">
        <v>26</v>
      </c>
      <c r="B10" t="s">
        <v>80</v>
      </c>
      <c r="C10" s="22">
        <f>COMMISSIONING!D59</f>
        <v>0</v>
      </c>
      <c r="D10" s="11" t="s">
        <v>8</v>
      </c>
      <c r="E10" s="10"/>
    </row>
    <row r="11" spans="1:12" x14ac:dyDescent="0.3">
      <c r="A11" t="s">
        <v>26</v>
      </c>
    </row>
    <row r="12" spans="1:12" x14ac:dyDescent="0.3">
      <c r="A12" t="s">
        <v>26</v>
      </c>
      <c r="B12" t="s">
        <v>12</v>
      </c>
      <c r="C12" s="17">
        <f>10*LOG(60*C6)</f>
        <v>29.542425094393248</v>
      </c>
      <c r="D12" s="11" t="s">
        <v>7</v>
      </c>
      <c r="F12" s="11" t="s">
        <v>90</v>
      </c>
      <c r="G12" s="17">
        <f>C14</f>
        <v>-16.478174818886377</v>
      </c>
      <c r="H12" s="25" t="s">
        <v>7</v>
      </c>
      <c r="J12" s="11" t="s">
        <v>90</v>
      </c>
      <c r="K12" s="17">
        <f>G12</f>
        <v>-16.478174818886377</v>
      </c>
      <c r="L12" s="25" t="s">
        <v>7</v>
      </c>
    </row>
    <row r="13" spans="1:12" x14ac:dyDescent="0.3">
      <c r="A13" t="s">
        <v>26</v>
      </c>
      <c r="B13" s="59" t="s">
        <v>84</v>
      </c>
      <c r="C13" s="60">
        <f>C12+C10</f>
        <v>29.542425094393248</v>
      </c>
      <c r="D13" s="61" t="s">
        <v>81</v>
      </c>
    </row>
    <row r="14" spans="1:12" x14ac:dyDescent="0.3">
      <c r="A14" t="s">
        <v>26</v>
      </c>
      <c r="B14" t="s">
        <v>82</v>
      </c>
      <c r="C14" s="17">
        <f>-(C8-C13)</f>
        <v>-16.478174818886377</v>
      </c>
      <c r="D14" s="11" t="s">
        <v>7</v>
      </c>
      <c r="F14" s="11" t="s">
        <v>91</v>
      </c>
      <c r="G14" s="17">
        <f>C18</f>
        <v>-20</v>
      </c>
      <c r="H14" s="25" t="s">
        <v>7</v>
      </c>
      <c r="J14" s="11" t="s">
        <v>68</v>
      </c>
      <c r="K14" s="17">
        <f>G14</f>
        <v>-20</v>
      </c>
      <c r="L14" s="25" t="s">
        <v>7</v>
      </c>
    </row>
    <row r="15" spans="1:12" x14ac:dyDescent="0.3">
      <c r="A15" s="59" t="s">
        <v>26</v>
      </c>
      <c r="C15" s="29"/>
      <c r="F15" s="14" t="s">
        <v>53</v>
      </c>
      <c r="G15" s="29">
        <f>SUM(G18:G19)</f>
        <v>-58.010299956639813</v>
      </c>
      <c r="H15" s="30" t="s">
        <v>6</v>
      </c>
      <c r="J15" s="14" t="s">
        <v>54</v>
      </c>
      <c r="K15" s="29">
        <f>SUM(K17:K19)</f>
        <v>-73.781512503836439</v>
      </c>
      <c r="L15" s="30" t="s">
        <v>6</v>
      </c>
    </row>
    <row r="16" spans="1:12" x14ac:dyDescent="0.3">
      <c r="A16" t="s">
        <v>26</v>
      </c>
      <c r="B16" s="3" t="s">
        <v>85</v>
      </c>
      <c r="C16" s="17">
        <f>C22-C21+2</f>
        <v>-78</v>
      </c>
      <c r="D16" s="16" t="s">
        <v>6</v>
      </c>
    </row>
    <row r="17" spans="1:12" x14ac:dyDescent="0.3">
      <c r="A17" t="s">
        <v>26</v>
      </c>
      <c r="B17" t="s">
        <v>88</v>
      </c>
      <c r="C17" s="32">
        <f>ROUND(C16-C13,0)</f>
        <v>-108</v>
      </c>
      <c r="D17" s="31" t="s">
        <v>7</v>
      </c>
      <c r="J17" s="11" t="s">
        <v>50</v>
      </c>
      <c r="K17" s="22">
        <f>COMMISSIONING!D51</f>
        <v>5</v>
      </c>
      <c r="L17" s="25" t="s">
        <v>7</v>
      </c>
    </row>
    <row r="18" spans="1:12" x14ac:dyDescent="0.3">
      <c r="A18" t="s">
        <v>26</v>
      </c>
      <c r="B18" t="s">
        <v>92</v>
      </c>
      <c r="C18" s="22">
        <f>COMMISSIONING!D63</f>
        <v>-20</v>
      </c>
      <c r="D18" s="11" t="s">
        <v>7</v>
      </c>
      <c r="F18" s="11" t="s">
        <v>34</v>
      </c>
      <c r="G18" s="17">
        <f>C23</f>
        <v>0.45757490560675151</v>
      </c>
      <c r="H18" s="25" t="s">
        <v>6</v>
      </c>
      <c r="J18" s="11" t="s">
        <v>34</v>
      </c>
      <c r="K18" s="17">
        <f>G18</f>
        <v>0.45757490560675151</v>
      </c>
      <c r="L18" s="25" t="s">
        <v>6</v>
      </c>
    </row>
    <row r="19" spans="1:12" x14ac:dyDescent="0.3">
      <c r="A19" t="s">
        <v>26</v>
      </c>
      <c r="B19" t="s">
        <v>86</v>
      </c>
      <c r="C19" s="17">
        <f>C13+C18</f>
        <v>9.5424250943932485</v>
      </c>
      <c r="D19" s="11" t="s">
        <v>6</v>
      </c>
      <c r="F19" s="14" t="s">
        <v>55</v>
      </c>
      <c r="G19" s="29">
        <f>SUM(G20:G23)</f>
        <v>-58.46787486224656</v>
      </c>
      <c r="H19" s="30" t="s">
        <v>6</v>
      </c>
      <c r="J19" s="14" t="s">
        <v>51</v>
      </c>
      <c r="K19" s="29">
        <f>SUM(K20:K23)</f>
        <v>-79.239087409443187</v>
      </c>
      <c r="L19" s="30" t="s">
        <v>6</v>
      </c>
    </row>
    <row r="20" spans="1:12" x14ac:dyDescent="0.3">
      <c r="A20" t="s">
        <v>26</v>
      </c>
    </row>
    <row r="21" spans="1:12" x14ac:dyDescent="0.3">
      <c r="A21" s="3" t="s">
        <v>26</v>
      </c>
      <c r="B21" s="4" t="s">
        <v>95</v>
      </c>
      <c r="C21" s="21">
        <v>90</v>
      </c>
      <c r="D21" s="13" t="s">
        <v>7</v>
      </c>
      <c r="F21" s="11" t="s">
        <v>67</v>
      </c>
      <c r="G21" s="17">
        <f>C26</f>
        <v>-9.9999999999999995E-7</v>
      </c>
      <c r="H21" s="25" t="s">
        <v>7</v>
      </c>
      <c r="J21" s="11" t="s">
        <v>67</v>
      </c>
      <c r="K21" s="17">
        <f>G21</f>
        <v>-9.9999999999999995E-7</v>
      </c>
      <c r="L21" s="25" t="s">
        <v>7</v>
      </c>
    </row>
    <row r="22" spans="1:12" x14ac:dyDescent="0.3">
      <c r="B22" s="4" t="s">
        <v>19</v>
      </c>
      <c r="C22" s="21">
        <f>COMMISSIONING!D66</f>
        <v>10</v>
      </c>
      <c r="D22" s="13" t="s">
        <v>6</v>
      </c>
      <c r="E22" s="10" t="s">
        <v>44</v>
      </c>
      <c r="F22" s="11" t="s">
        <v>52</v>
      </c>
      <c r="G22" s="17">
        <f>C27</f>
        <v>-6</v>
      </c>
      <c r="H22" s="25" t="s">
        <v>7</v>
      </c>
      <c r="J22" s="11" t="s">
        <v>52</v>
      </c>
      <c r="K22" s="17">
        <f>G22</f>
        <v>-6</v>
      </c>
      <c r="L22" s="25" t="s">
        <v>7</v>
      </c>
    </row>
    <row r="23" spans="1:12" x14ac:dyDescent="0.3">
      <c r="B23" s="3" t="s">
        <v>87</v>
      </c>
      <c r="C23" s="23">
        <f>MIN(C22-C19,C21)</f>
        <v>0.45757490560675151</v>
      </c>
      <c r="D23" s="16" t="s">
        <v>7</v>
      </c>
      <c r="F23" s="14" t="s">
        <v>33</v>
      </c>
      <c r="G23" s="29">
        <f>SUM(G25:G27)</f>
        <v>-52.467873862246563</v>
      </c>
      <c r="H23" s="30" t="s">
        <v>6</v>
      </c>
      <c r="J23" s="14" t="s">
        <v>40</v>
      </c>
      <c r="K23" s="29">
        <f>SUM(K28:K29)+SUM(K25:K26)</f>
        <v>-73.239086409443189</v>
      </c>
      <c r="L23" s="30" t="s">
        <v>6</v>
      </c>
    </row>
    <row r="24" spans="1:12" x14ac:dyDescent="0.3">
      <c r="B24" t="s">
        <v>66</v>
      </c>
      <c r="C24" s="17">
        <f>C19+C23</f>
        <v>10</v>
      </c>
      <c r="D24" s="11" t="s">
        <v>6</v>
      </c>
    </row>
    <row r="25" spans="1:12" x14ac:dyDescent="0.3">
      <c r="F25" s="11" t="s">
        <v>71</v>
      </c>
      <c r="G25" s="17">
        <f>G40</f>
        <v>19.989701043360185</v>
      </c>
      <c r="H25" s="25" t="s">
        <v>7</v>
      </c>
      <c r="J25" s="11" t="s">
        <v>22</v>
      </c>
      <c r="K25" s="17">
        <f>G25</f>
        <v>19.989701043360185</v>
      </c>
      <c r="L25" s="25" t="s">
        <v>7</v>
      </c>
    </row>
    <row r="26" spans="1:12" x14ac:dyDescent="0.3">
      <c r="B26" t="s">
        <v>67</v>
      </c>
      <c r="C26" s="22">
        <f>COMMISSIONING!D81</f>
        <v>-9.9999999999999995E-7</v>
      </c>
      <c r="D26" s="11" t="s">
        <v>7</v>
      </c>
      <c r="E26" s="10" t="s">
        <v>44</v>
      </c>
      <c r="J26" s="11" t="s">
        <v>39</v>
      </c>
      <c r="K26" s="17">
        <f>10*LOG(K27)</f>
        <v>3.0102999566398121</v>
      </c>
      <c r="L26" s="25" t="s">
        <v>7</v>
      </c>
    </row>
    <row r="27" spans="1:12" x14ac:dyDescent="0.3">
      <c r="A27" t="s">
        <v>27</v>
      </c>
      <c r="B27" t="s">
        <v>52</v>
      </c>
      <c r="C27" s="22">
        <f>COMMISSIONING!D46</f>
        <v>-6</v>
      </c>
      <c r="D27" s="11" t="s">
        <v>7</v>
      </c>
      <c r="E27" t="s">
        <v>13</v>
      </c>
      <c r="F27" s="14" t="s">
        <v>69</v>
      </c>
      <c r="G27" s="29">
        <f>SUM(G28:G29)</f>
        <v>-72.457574905606748</v>
      </c>
      <c r="H27" s="30" t="s">
        <v>6</v>
      </c>
      <c r="J27" s="13" t="s">
        <v>24</v>
      </c>
      <c r="K27" s="24">
        <f>COMMISSIONING!D41</f>
        <v>2</v>
      </c>
      <c r="L27" s="28" t="s">
        <v>25</v>
      </c>
    </row>
    <row r="28" spans="1:12" x14ac:dyDescent="0.3">
      <c r="A28" s="3" t="s">
        <v>27</v>
      </c>
      <c r="B28" s="3" t="s">
        <v>18</v>
      </c>
      <c r="C28" s="23">
        <f>SUM(C24,C26:C27)</f>
        <v>3.9999990000000007</v>
      </c>
      <c r="D28" s="16" t="s">
        <v>6</v>
      </c>
      <c r="F28" s="11" t="s">
        <v>32</v>
      </c>
      <c r="G28" s="17">
        <f>C33</f>
        <v>-96.457574905606748</v>
      </c>
      <c r="H28" s="25" t="s">
        <v>7</v>
      </c>
      <c r="J28" s="11" t="s">
        <v>38</v>
      </c>
      <c r="K28" s="22">
        <f>COMMISSIONING!D50</f>
        <v>6</v>
      </c>
      <c r="L28" s="25" t="s">
        <v>7</v>
      </c>
    </row>
    <row r="29" spans="1:12" x14ac:dyDescent="0.3">
      <c r="A29" t="s">
        <v>27</v>
      </c>
      <c r="F29" s="11" t="s">
        <v>45</v>
      </c>
      <c r="G29" s="22">
        <f>COMMISSIONING!D48</f>
        <v>24</v>
      </c>
      <c r="H29" s="25" t="s">
        <v>6</v>
      </c>
      <c r="J29" s="11" t="s">
        <v>37</v>
      </c>
      <c r="K29" s="17">
        <f>-174 + 10*LOG(C6)+60</f>
        <v>-102.23908740944319</v>
      </c>
      <c r="L29" s="25" t="s">
        <v>6</v>
      </c>
    </row>
    <row r="30" spans="1:12" x14ac:dyDescent="0.3">
      <c r="B30" t="s">
        <v>20</v>
      </c>
      <c r="C30" s="17">
        <f>MIN(C28+36,27)</f>
        <v>27</v>
      </c>
      <c r="D30" s="11" t="s">
        <v>6</v>
      </c>
      <c r="E30" t="s">
        <v>13</v>
      </c>
    </row>
    <row r="31" spans="1:12" x14ac:dyDescent="0.3">
      <c r="A31" t="s">
        <v>28</v>
      </c>
      <c r="B31" s="3" t="s">
        <v>21</v>
      </c>
      <c r="C31" s="23">
        <f>C30-C28</f>
        <v>23.000000999999997</v>
      </c>
      <c r="D31" s="16" t="s">
        <v>7</v>
      </c>
    </row>
    <row r="32" spans="1:12" ht="15" thickBot="1" x14ac:dyDescent="0.35">
      <c r="A32" t="s">
        <v>28</v>
      </c>
      <c r="I32" s="10" t="s">
        <v>44</v>
      </c>
    </row>
    <row r="33" spans="1:12" x14ac:dyDescent="0.3">
      <c r="A33" s="3" t="s">
        <v>28</v>
      </c>
      <c r="B33" t="s">
        <v>89</v>
      </c>
      <c r="C33" s="22">
        <f>COMMISSIONING!D47</f>
        <v>-96.457574905606748</v>
      </c>
      <c r="D33" s="11" t="s">
        <v>7</v>
      </c>
      <c r="F33" s="45" t="s">
        <v>70</v>
      </c>
      <c r="G33" s="34"/>
      <c r="H33" s="35"/>
      <c r="J33" s="45" t="s">
        <v>49</v>
      </c>
      <c r="K33" s="34"/>
      <c r="L33" s="35"/>
    </row>
    <row r="34" spans="1:12" x14ac:dyDescent="0.3">
      <c r="A34" t="s">
        <v>28</v>
      </c>
      <c r="B34" s="3" t="s">
        <v>30</v>
      </c>
      <c r="C34" s="23">
        <f>C30+C33</f>
        <v>-69.457574905606748</v>
      </c>
      <c r="D34" s="16" t="s">
        <v>6</v>
      </c>
      <c r="F34" s="36"/>
      <c r="H34" s="37"/>
      <c r="J34" s="36"/>
      <c r="L34" s="37"/>
    </row>
    <row r="35" spans="1:12" x14ac:dyDescent="0.3">
      <c r="A35" t="s">
        <v>28</v>
      </c>
      <c r="B35" t="s">
        <v>31</v>
      </c>
      <c r="C35" s="17">
        <f>C34-C12</f>
        <v>-99</v>
      </c>
      <c r="D35" s="11" t="s">
        <v>8</v>
      </c>
      <c r="F35" s="36" t="s">
        <v>56</v>
      </c>
      <c r="G35" s="22">
        <f>COMMISSIONING!D70</f>
        <v>0</v>
      </c>
      <c r="H35" s="37" t="s">
        <v>7</v>
      </c>
      <c r="J35" s="36" t="s">
        <v>41</v>
      </c>
      <c r="K35" s="17">
        <f>K29</f>
        <v>-102.23908740944319</v>
      </c>
      <c r="L35" s="37" t="s">
        <v>6</v>
      </c>
    </row>
    <row r="36" spans="1:12" x14ac:dyDescent="0.3">
      <c r="A36" s="3" t="s">
        <v>28</v>
      </c>
      <c r="F36" s="36" t="s">
        <v>57</v>
      </c>
      <c r="G36" s="17">
        <f>-10*LOG(G37)</f>
        <v>-3.0102999566398121</v>
      </c>
      <c r="H36" s="37" t="s">
        <v>7</v>
      </c>
      <c r="J36" s="38" t="s">
        <v>42</v>
      </c>
      <c r="K36" s="62">
        <f>COMMISSIONING!D85</f>
        <v>0</v>
      </c>
      <c r="L36" s="39" t="s">
        <v>7</v>
      </c>
    </row>
    <row r="37" spans="1:12" x14ac:dyDescent="0.3">
      <c r="F37" s="51" t="s">
        <v>58</v>
      </c>
      <c r="G37" s="52">
        <f>COMMISSIONING!D41</f>
        <v>2</v>
      </c>
      <c r="H37" s="53" t="s">
        <v>25</v>
      </c>
      <c r="J37" s="36" t="s">
        <v>43</v>
      </c>
      <c r="K37" s="17">
        <f>SUM(K35:K36)</f>
        <v>-102.23908740944319</v>
      </c>
      <c r="L37" s="37" t="s">
        <v>6</v>
      </c>
    </row>
    <row r="38" spans="1:12" x14ac:dyDescent="0.3">
      <c r="F38" s="36" t="s">
        <v>23</v>
      </c>
      <c r="G38" s="17">
        <f>C31</f>
        <v>23.000000999999997</v>
      </c>
      <c r="H38" s="37" t="s">
        <v>7</v>
      </c>
      <c r="J38" s="36"/>
      <c r="L38" s="37"/>
    </row>
    <row r="39" spans="1:12" x14ac:dyDescent="0.3">
      <c r="A39" s="3"/>
      <c r="F39" s="36"/>
      <c r="H39" s="37"/>
      <c r="J39" s="38" t="s">
        <v>47</v>
      </c>
      <c r="K39" s="29">
        <f>K7</f>
        <v>-110.25968732272281</v>
      </c>
      <c r="L39" s="39" t="s">
        <v>6</v>
      </c>
    </row>
    <row r="40" spans="1:12" x14ac:dyDescent="0.3">
      <c r="F40" s="54" t="s">
        <v>22</v>
      </c>
      <c r="G40" s="23">
        <f>G38+G36+G35</f>
        <v>19.989701043360185</v>
      </c>
      <c r="H40" s="55" t="s">
        <v>7</v>
      </c>
      <c r="J40" s="36" t="s">
        <v>46</v>
      </c>
      <c r="K40" s="17">
        <f>10*LOG(10^(K37/10)+10^(K39/10))</f>
        <v>-101.6029795152503</v>
      </c>
      <c r="L40" s="37" t="s">
        <v>6</v>
      </c>
    </row>
    <row r="41" spans="1:12" x14ac:dyDescent="0.3">
      <c r="F41" s="36"/>
      <c r="H41" s="37"/>
      <c r="J41" s="36"/>
      <c r="L41" s="37"/>
    </row>
    <row r="42" spans="1:12" x14ac:dyDescent="0.3">
      <c r="F42" s="36"/>
      <c r="H42" s="37"/>
      <c r="J42" s="40" t="s">
        <v>48</v>
      </c>
      <c r="K42" s="32">
        <f>K40-K37</f>
        <v>0.63610789419288949</v>
      </c>
      <c r="L42" s="41" t="s">
        <v>7</v>
      </c>
    </row>
    <row r="43" spans="1:12" ht="15" thickBot="1" x14ac:dyDescent="0.35">
      <c r="F43" s="42"/>
      <c r="G43" s="43"/>
      <c r="H43" s="44"/>
      <c r="J43" s="42"/>
      <c r="K43" s="43"/>
      <c r="L43" s="44"/>
    </row>
  </sheetData>
  <mergeCells count="3">
    <mergeCell ref="B3:D3"/>
    <mergeCell ref="F3:H3"/>
    <mergeCell ref="J3:L3"/>
  </mergeCells>
  <pageMargins left="0.7" right="0.7" top="0.75" bottom="0.75" header="0.3" footer="0.3"/>
  <pageSetup orientation="portrait" horizontalDpi="0" verticalDpi="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F25A-5268-4DFB-A163-3EC6E7FA6362}">
  <dimension ref="A1:L43"/>
  <sheetViews>
    <sheetView topLeftCell="A18" workbookViewId="0">
      <selection activeCell="C30" sqref="C30"/>
    </sheetView>
  </sheetViews>
  <sheetFormatPr defaultRowHeight="14.4" x14ac:dyDescent="0.3"/>
  <cols>
    <col min="2" max="2" width="43.5546875" customWidth="1"/>
    <col min="3" max="3" width="13.88671875" style="17" customWidth="1"/>
    <col min="4" max="4" width="13.88671875" style="11" customWidth="1"/>
    <col min="5" max="5" width="7.88671875" customWidth="1"/>
    <col min="6" max="6" width="43.5546875" style="11" customWidth="1"/>
    <col min="7" max="7" width="13.88671875" style="17" customWidth="1"/>
    <col min="8" max="8" width="13.88671875" style="25" customWidth="1"/>
    <col min="9" max="9" width="7.5546875" customWidth="1"/>
    <col min="10" max="10" width="43.5546875" style="11" customWidth="1"/>
    <col min="11" max="11" width="13.88671875" style="17" customWidth="1"/>
    <col min="12" max="12" width="13.88671875" style="25" customWidth="1"/>
  </cols>
  <sheetData>
    <row r="1" spans="1:12" ht="21" x14ac:dyDescent="0.4">
      <c r="A1" s="1" t="s">
        <v>62</v>
      </c>
      <c r="G1" s="22">
        <v>-2</v>
      </c>
      <c r="H1" s="25" t="s">
        <v>141</v>
      </c>
    </row>
    <row r="2" spans="1:12" s="9" customFormat="1" ht="23.25" customHeight="1" x14ac:dyDescent="0.3">
      <c r="A2" s="8"/>
      <c r="C2" s="18"/>
      <c r="D2" s="12"/>
      <c r="F2" s="12"/>
      <c r="G2" s="17"/>
      <c r="H2" s="26"/>
      <c r="J2" s="12"/>
      <c r="K2" s="17"/>
      <c r="L2" s="26"/>
    </row>
    <row r="3" spans="1:12" x14ac:dyDescent="0.3">
      <c r="B3" s="156" t="s">
        <v>0</v>
      </c>
      <c r="C3" s="156"/>
      <c r="D3" s="156"/>
      <c r="F3" s="157" t="s">
        <v>104</v>
      </c>
      <c r="G3" s="157"/>
      <c r="H3" s="157"/>
      <c r="J3" s="155" t="s">
        <v>36</v>
      </c>
      <c r="K3" s="155"/>
      <c r="L3" s="155"/>
    </row>
    <row r="4" spans="1:12" x14ac:dyDescent="0.3">
      <c r="A4" s="2" t="s">
        <v>1</v>
      </c>
      <c r="B4" s="2" t="s">
        <v>2</v>
      </c>
      <c r="C4" s="19" t="s">
        <v>3</v>
      </c>
      <c r="D4" s="15" t="s">
        <v>4</v>
      </c>
      <c r="G4" s="19" t="s">
        <v>3</v>
      </c>
      <c r="H4" s="27" t="s">
        <v>4</v>
      </c>
      <c r="K4" s="19" t="s">
        <v>3</v>
      </c>
      <c r="L4" s="27" t="s">
        <v>4</v>
      </c>
    </row>
    <row r="5" spans="1:12" x14ac:dyDescent="0.3">
      <c r="A5" t="s">
        <v>26</v>
      </c>
      <c r="B5" s="4" t="s">
        <v>16</v>
      </c>
      <c r="C5" s="20" t="str">
        <f>COMMISSIONING!E55</f>
        <v>LTE-2600</v>
      </c>
      <c r="D5" s="13"/>
      <c r="J5" s="31" t="s">
        <v>48</v>
      </c>
      <c r="K5" s="32">
        <f>K42</f>
        <v>0.63610789419288949</v>
      </c>
      <c r="L5" s="33" t="s">
        <v>7</v>
      </c>
    </row>
    <row r="6" spans="1:12" x14ac:dyDescent="0.3">
      <c r="A6" t="s">
        <v>26</v>
      </c>
      <c r="B6" s="4" t="s">
        <v>10</v>
      </c>
      <c r="C6" s="96">
        <f>COMMISSIONING!E56</f>
        <v>20</v>
      </c>
      <c r="D6" s="13" t="s">
        <v>11</v>
      </c>
      <c r="F6" s="11" t="s">
        <v>101</v>
      </c>
      <c r="G6" s="17">
        <f>-106-K39</f>
        <v>3.0102999566398125</v>
      </c>
      <c r="H6" s="25" t="s">
        <v>7</v>
      </c>
    </row>
    <row r="7" spans="1:12" x14ac:dyDescent="0.3">
      <c r="A7" t="s">
        <v>26</v>
      </c>
      <c r="B7" s="4" t="s">
        <v>15</v>
      </c>
      <c r="C7" s="24">
        <v>40</v>
      </c>
      <c r="D7" s="13" t="s">
        <v>5</v>
      </c>
      <c r="J7" s="14" t="s">
        <v>72</v>
      </c>
      <c r="K7" s="29">
        <f>K12+K14+K15</f>
        <v>-109.01029995663981</v>
      </c>
      <c r="L7" s="30" t="s">
        <v>6</v>
      </c>
    </row>
    <row r="8" spans="1:12" x14ac:dyDescent="0.3">
      <c r="A8" t="s">
        <v>26</v>
      </c>
      <c r="B8" t="s">
        <v>15</v>
      </c>
      <c r="C8" s="23">
        <f>10*LOG(C7)+30</f>
        <v>46.020599913279625</v>
      </c>
      <c r="D8" s="11" t="s">
        <v>6</v>
      </c>
      <c r="F8" s="11" t="s">
        <v>99</v>
      </c>
      <c r="G8" s="17">
        <f>G9-K37</f>
        <v>3.7506126339170009</v>
      </c>
      <c r="H8" s="25" t="s">
        <v>7</v>
      </c>
    </row>
    <row r="9" spans="1:12" x14ac:dyDescent="0.3">
      <c r="A9" t="s">
        <v>26</v>
      </c>
      <c r="F9" s="14" t="s">
        <v>35</v>
      </c>
      <c r="G9" s="29">
        <f>G12+G14+G15</f>
        <v>-97.239087409443187</v>
      </c>
      <c r="H9" s="30" t="s">
        <v>6</v>
      </c>
    </row>
    <row r="10" spans="1:12" x14ac:dyDescent="0.3">
      <c r="A10" s="3" t="s">
        <v>26</v>
      </c>
      <c r="B10" t="s">
        <v>80</v>
      </c>
      <c r="C10" s="22">
        <f>COMMISSIONING!E59</f>
        <v>0</v>
      </c>
      <c r="D10" s="11" t="s">
        <v>8</v>
      </c>
      <c r="E10" s="10"/>
    </row>
    <row r="11" spans="1:12" x14ac:dyDescent="0.3">
      <c r="A11" t="s">
        <v>26</v>
      </c>
    </row>
    <row r="12" spans="1:12" x14ac:dyDescent="0.3">
      <c r="A12" t="s">
        <v>26</v>
      </c>
      <c r="B12" t="s">
        <v>12</v>
      </c>
      <c r="C12" s="17">
        <f>10*LOG(60*C6)</f>
        <v>30.791812460476248</v>
      </c>
      <c r="D12" s="11" t="s">
        <v>7</v>
      </c>
      <c r="F12" s="11" t="s">
        <v>90</v>
      </c>
      <c r="G12" s="17">
        <f>C14</f>
        <v>-15.228787452803378</v>
      </c>
      <c r="H12" s="25" t="s">
        <v>7</v>
      </c>
      <c r="J12" s="11" t="s">
        <v>90</v>
      </c>
      <c r="K12" s="17">
        <f>G12</f>
        <v>-15.228787452803378</v>
      </c>
      <c r="L12" s="25" t="s">
        <v>7</v>
      </c>
    </row>
    <row r="13" spans="1:12" x14ac:dyDescent="0.3">
      <c r="A13" t="s">
        <v>26</v>
      </c>
      <c r="B13" s="59" t="s">
        <v>84</v>
      </c>
      <c r="C13" s="60">
        <f>C12+C10</f>
        <v>30.791812460476248</v>
      </c>
      <c r="D13" s="61" t="s">
        <v>81</v>
      </c>
    </row>
    <row r="14" spans="1:12" x14ac:dyDescent="0.3">
      <c r="A14" t="s">
        <v>26</v>
      </c>
      <c r="B14" t="s">
        <v>82</v>
      </c>
      <c r="C14" s="17">
        <f>-(C8-C13)</f>
        <v>-15.228787452803378</v>
      </c>
      <c r="D14" s="11" t="s">
        <v>7</v>
      </c>
      <c r="F14" s="11" t="s">
        <v>91</v>
      </c>
      <c r="G14" s="17">
        <f>C18</f>
        <v>-16</v>
      </c>
      <c r="H14" s="25" t="s">
        <v>7</v>
      </c>
      <c r="J14" s="11" t="s">
        <v>68</v>
      </c>
      <c r="K14" s="17">
        <f>G14</f>
        <v>-16</v>
      </c>
      <c r="L14" s="25" t="s">
        <v>7</v>
      </c>
    </row>
    <row r="15" spans="1:12" x14ac:dyDescent="0.3">
      <c r="A15" s="59" t="s">
        <v>26</v>
      </c>
      <c r="C15" s="29"/>
      <c r="F15" s="14" t="s">
        <v>53</v>
      </c>
      <c r="G15" s="29">
        <f>SUM(G18:G19)</f>
        <v>-66.010299956639813</v>
      </c>
      <c r="H15" s="30" t="s">
        <v>6</v>
      </c>
      <c r="J15" s="14" t="s">
        <v>54</v>
      </c>
      <c r="K15" s="29">
        <f>SUM(K17:K19)</f>
        <v>-77.781512503836439</v>
      </c>
      <c r="L15" s="30" t="s">
        <v>6</v>
      </c>
    </row>
    <row r="16" spans="1:12" x14ac:dyDescent="0.3">
      <c r="A16" t="s">
        <v>26</v>
      </c>
      <c r="B16" s="3" t="s">
        <v>85</v>
      </c>
      <c r="C16" s="17">
        <f>C22-C21+2</f>
        <v>-78</v>
      </c>
      <c r="D16" s="16" t="s">
        <v>6</v>
      </c>
    </row>
    <row r="17" spans="1:12" x14ac:dyDescent="0.3">
      <c r="A17" t="s">
        <v>26</v>
      </c>
      <c r="B17" t="s">
        <v>88</v>
      </c>
      <c r="C17" s="32">
        <f>ROUND(C16-C13,0)</f>
        <v>-109</v>
      </c>
      <c r="D17" s="31" t="s">
        <v>7</v>
      </c>
      <c r="J17" s="11" t="s">
        <v>50</v>
      </c>
      <c r="K17" s="22">
        <f>COMMISSIONING!E51</f>
        <v>5</v>
      </c>
      <c r="L17" s="25" t="s">
        <v>7</v>
      </c>
    </row>
    <row r="18" spans="1:12" x14ac:dyDescent="0.3">
      <c r="A18" t="s">
        <v>26</v>
      </c>
      <c r="B18" t="s">
        <v>92</v>
      </c>
      <c r="C18" s="22">
        <f>COMMISSIONING!E63</f>
        <v>-16</v>
      </c>
      <c r="D18" s="11" t="s">
        <v>7</v>
      </c>
      <c r="F18" s="11" t="s">
        <v>34</v>
      </c>
      <c r="G18" s="17">
        <f>C23</f>
        <v>-4.7918124604762475</v>
      </c>
      <c r="H18" s="25" t="s">
        <v>6</v>
      </c>
      <c r="J18" s="11" t="s">
        <v>34</v>
      </c>
      <c r="K18" s="17">
        <f>G18</f>
        <v>-4.7918124604762475</v>
      </c>
      <c r="L18" s="25" t="s">
        <v>6</v>
      </c>
    </row>
    <row r="19" spans="1:12" x14ac:dyDescent="0.3">
      <c r="A19" t="s">
        <v>26</v>
      </c>
      <c r="B19" t="s">
        <v>86</v>
      </c>
      <c r="C19" s="17">
        <f>C13+C18</f>
        <v>14.791812460476248</v>
      </c>
      <c r="D19" s="11" t="s">
        <v>6</v>
      </c>
      <c r="F19" s="14" t="s">
        <v>55</v>
      </c>
      <c r="G19" s="29">
        <f>SUM(G20:G23)</f>
        <v>-61.218487496163561</v>
      </c>
      <c r="H19" s="30" t="s">
        <v>6</v>
      </c>
      <c r="J19" s="14" t="s">
        <v>51</v>
      </c>
      <c r="K19" s="29">
        <f>SUM(K20:K23)</f>
        <v>-77.989700043360187</v>
      </c>
      <c r="L19" s="30" t="s">
        <v>6</v>
      </c>
    </row>
    <row r="20" spans="1:12" x14ac:dyDescent="0.3">
      <c r="A20" t="s">
        <v>26</v>
      </c>
    </row>
    <row r="21" spans="1:12" x14ac:dyDescent="0.3">
      <c r="A21" s="3" t="s">
        <v>26</v>
      </c>
      <c r="B21" s="4" t="s">
        <v>95</v>
      </c>
      <c r="C21" s="21">
        <v>90</v>
      </c>
      <c r="D21" s="13" t="s">
        <v>7</v>
      </c>
      <c r="F21" s="11" t="s">
        <v>67</v>
      </c>
      <c r="G21" s="17">
        <f>C26</f>
        <v>-9.9999999999999995E-7</v>
      </c>
      <c r="H21" s="25" t="s">
        <v>7</v>
      </c>
      <c r="J21" s="11" t="s">
        <v>67</v>
      </c>
      <c r="K21" s="17">
        <f>G21</f>
        <v>-9.9999999999999995E-7</v>
      </c>
      <c r="L21" s="25" t="s">
        <v>7</v>
      </c>
    </row>
    <row r="22" spans="1:12" x14ac:dyDescent="0.3">
      <c r="B22" s="4" t="s">
        <v>19</v>
      </c>
      <c r="C22" s="21">
        <f>COMMISSIONING!E66</f>
        <v>10</v>
      </c>
      <c r="D22" s="13" t="s">
        <v>6</v>
      </c>
      <c r="E22" s="10" t="s">
        <v>44</v>
      </c>
      <c r="F22" s="11" t="s">
        <v>52</v>
      </c>
      <c r="G22" s="17">
        <f>C27</f>
        <v>-6</v>
      </c>
      <c r="H22" s="25" t="s">
        <v>7</v>
      </c>
      <c r="J22" s="11" t="s">
        <v>52</v>
      </c>
      <c r="K22" s="17">
        <f>G22</f>
        <v>-6</v>
      </c>
      <c r="L22" s="25" t="s">
        <v>7</v>
      </c>
    </row>
    <row r="23" spans="1:12" x14ac:dyDescent="0.3">
      <c r="B23" s="3" t="s">
        <v>87</v>
      </c>
      <c r="C23" s="23">
        <f>MIN(C22-C19,C21)</f>
        <v>-4.7918124604762475</v>
      </c>
      <c r="D23" s="16" t="s">
        <v>7</v>
      </c>
      <c r="F23" s="14" t="s">
        <v>33</v>
      </c>
      <c r="G23" s="29">
        <f>SUM(G25:G27)</f>
        <v>-55.218486496163564</v>
      </c>
      <c r="H23" s="30" t="s">
        <v>6</v>
      </c>
      <c r="J23" s="14" t="s">
        <v>40</v>
      </c>
      <c r="K23" s="29">
        <f>SUM(K28:K29)+SUM(K25:K26)</f>
        <v>-71.98969904336019</v>
      </c>
      <c r="L23" s="30" t="s">
        <v>6</v>
      </c>
    </row>
    <row r="24" spans="1:12" x14ac:dyDescent="0.3">
      <c r="B24" t="s">
        <v>66</v>
      </c>
      <c r="C24" s="17">
        <f>C19+C23</f>
        <v>10</v>
      </c>
      <c r="D24" s="11" t="s">
        <v>6</v>
      </c>
    </row>
    <row r="25" spans="1:12" x14ac:dyDescent="0.3">
      <c r="F25" s="11" t="s">
        <v>71</v>
      </c>
      <c r="G25" s="17">
        <f>G40</f>
        <v>19.989701043360185</v>
      </c>
      <c r="H25" s="25" t="s">
        <v>7</v>
      </c>
      <c r="J25" s="11" t="s">
        <v>22</v>
      </c>
      <c r="K25" s="17">
        <f>G25</f>
        <v>19.989701043360185</v>
      </c>
      <c r="L25" s="25" t="s">
        <v>7</v>
      </c>
    </row>
    <row r="26" spans="1:12" x14ac:dyDescent="0.3">
      <c r="B26" t="s">
        <v>67</v>
      </c>
      <c r="C26" s="22">
        <f>COMMISSIONING!E81</f>
        <v>-9.9999999999999995E-7</v>
      </c>
      <c r="D26" s="11" t="s">
        <v>7</v>
      </c>
      <c r="E26" s="10" t="s">
        <v>44</v>
      </c>
      <c r="J26" s="11" t="s">
        <v>39</v>
      </c>
      <c r="K26" s="17">
        <f>10*LOG(K27)</f>
        <v>3.0102999566398121</v>
      </c>
      <c r="L26" s="25" t="s">
        <v>7</v>
      </c>
    </row>
    <row r="27" spans="1:12" x14ac:dyDescent="0.3">
      <c r="A27" t="s">
        <v>27</v>
      </c>
      <c r="B27" t="s">
        <v>52</v>
      </c>
      <c r="C27" s="22">
        <f>COMMISSIONING!E46</f>
        <v>-6</v>
      </c>
      <c r="D27" s="11" t="s">
        <v>7</v>
      </c>
      <c r="E27" t="s">
        <v>13</v>
      </c>
      <c r="F27" s="14" t="s">
        <v>69</v>
      </c>
      <c r="G27" s="29">
        <f>SUM(G28:G29)</f>
        <v>-75.208187539523749</v>
      </c>
      <c r="H27" s="30" t="s">
        <v>6</v>
      </c>
      <c r="J27" s="13" t="s">
        <v>24</v>
      </c>
      <c r="K27" s="24">
        <f>COMMISSIONING!E41</f>
        <v>2</v>
      </c>
      <c r="L27" s="28" t="s">
        <v>25</v>
      </c>
    </row>
    <row r="28" spans="1:12" x14ac:dyDescent="0.3">
      <c r="A28" s="3" t="s">
        <v>27</v>
      </c>
      <c r="B28" s="3" t="s">
        <v>18</v>
      </c>
      <c r="C28" s="23">
        <f>SUM(C24,C26:C27)</f>
        <v>3.9999990000000007</v>
      </c>
      <c r="D28" s="16" t="s">
        <v>6</v>
      </c>
      <c r="F28" s="11" t="s">
        <v>32</v>
      </c>
      <c r="G28" s="17">
        <f>C33</f>
        <v>-99.208187539523749</v>
      </c>
      <c r="H28" s="25" t="s">
        <v>7</v>
      </c>
      <c r="J28" s="11" t="s">
        <v>38</v>
      </c>
      <c r="K28" s="22">
        <f>COMMISSIONING!E50</f>
        <v>6</v>
      </c>
      <c r="L28" s="25" t="s">
        <v>7</v>
      </c>
    </row>
    <row r="29" spans="1:12" x14ac:dyDescent="0.3">
      <c r="A29" t="s">
        <v>27</v>
      </c>
      <c r="F29" s="11" t="s">
        <v>45</v>
      </c>
      <c r="G29" s="22">
        <f>COMMISSIONING!E48</f>
        <v>24</v>
      </c>
      <c r="H29" s="25" t="s">
        <v>6</v>
      </c>
      <c r="J29" s="11" t="s">
        <v>37</v>
      </c>
      <c r="K29" s="17">
        <f>-174 + 10*LOG(C6)+60</f>
        <v>-100.98970004336019</v>
      </c>
      <c r="L29" s="25" t="s">
        <v>6</v>
      </c>
    </row>
    <row r="30" spans="1:12" x14ac:dyDescent="0.3">
      <c r="B30" t="s">
        <v>20</v>
      </c>
      <c r="C30" s="17">
        <f>MIN(C28+36,27)</f>
        <v>27</v>
      </c>
      <c r="D30" s="11" t="s">
        <v>6</v>
      </c>
      <c r="E30" t="s">
        <v>13</v>
      </c>
    </row>
    <row r="31" spans="1:12" x14ac:dyDescent="0.3">
      <c r="A31" t="s">
        <v>28</v>
      </c>
      <c r="B31" s="3" t="s">
        <v>21</v>
      </c>
      <c r="C31" s="23">
        <f>C30-C28</f>
        <v>23.000000999999997</v>
      </c>
      <c r="D31" s="16" t="s">
        <v>7</v>
      </c>
    </row>
    <row r="32" spans="1:12" ht="15" thickBot="1" x14ac:dyDescent="0.35">
      <c r="A32" t="s">
        <v>28</v>
      </c>
      <c r="I32" s="10" t="s">
        <v>44</v>
      </c>
    </row>
    <row r="33" spans="1:12" x14ac:dyDescent="0.3">
      <c r="A33" s="3" t="s">
        <v>28</v>
      </c>
      <c r="B33" t="s">
        <v>89</v>
      </c>
      <c r="C33" s="22">
        <f>COMMISSIONING!E47</f>
        <v>-99.208187539523749</v>
      </c>
      <c r="D33" s="11" t="s">
        <v>7</v>
      </c>
      <c r="F33" s="45" t="s">
        <v>70</v>
      </c>
      <c r="G33" s="34"/>
      <c r="H33" s="35"/>
      <c r="J33" s="45" t="s">
        <v>49</v>
      </c>
      <c r="K33" s="34"/>
      <c r="L33" s="35"/>
    </row>
    <row r="34" spans="1:12" x14ac:dyDescent="0.3">
      <c r="A34" t="s">
        <v>28</v>
      </c>
      <c r="B34" s="3" t="s">
        <v>30</v>
      </c>
      <c r="C34" s="23">
        <f>C30+C33</f>
        <v>-72.208187539523749</v>
      </c>
      <c r="D34" s="16" t="s">
        <v>6</v>
      </c>
      <c r="F34" s="36"/>
      <c r="H34" s="37"/>
      <c r="J34" s="36"/>
      <c r="L34" s="37"/>
    </row>
    <row r="35" spans="1:12" x14ac:dyDescent="0.3">
      <c r="A35" t="s">
        <v>28</v>
      </c>
      <c r="B35" t="s">
        <v>31</v>
      </c>
      <c r="C35" s="17">
        <f>C34-C12</f>
        <v>-103</v>
      </c>
      <c r="D35" s="11" t="s">
        <v>8</v>
      </c>
      <c r="F35" s="36" t="s">
        <v>56</v>
      </c>
      <c r="G35" s="22">
        <f>COMMISSIONING!E70</f>
        <v>0</v>
      </c>
      <c r="H35" s="37" t="s">
        <v>7</v>
      </c>
      <c r="J35" s="36" t="s">
        <v>41</v>
      </c>
      <c r="K35" s="17">
        <f>K29</f>
        <v>-100.98970004336019</v>
      </c>
      <c r="L35" s="37" t="s">
        <v>6</v>
      </c>
    </row>
    <row r="36" spans="1:12" x14ac:dyDescent="0.3">
      <c r="A36" s="3" t="s">
        <v>28</v>
      </c>
      <c r="F36" s="36" t="s">
        <v>57</v>
      </c>
      <c r="G36" s="17">
        <f>-10*LOG(G37)</f>
        <v>-3.0102999566398121</v>
      </c>
      <c r="H36" s="37" t="s">
        <v>7</v>
      </c>
      <c r="J36" s="38" t="s">
        <v>42</v>
      </c>
      <c r="K36" s="62">
        <f>COMMISSIONING!E85</f>
        <v>0</v>
      </c>
      <c r="L36" s="39" t="s">
        <v>7</v>
      </c>
    </row>
    <row r="37" spans="1:12" x14ac:dyDescent="0.3">
      <c r="F37" s="51" t="s">
        <v>58</v>
      </c>
      <c r="G37" s="52">
        <f>COMMISSIONING!E41</f>
        <v>2</v>
      </c>
      <c r="H37" s="53" t="s">
        <v>25</v>
      </c>
      <c r="J37" s="36" t="s">
        <v>43</v>
      </c>
      <c r="K37" s="17">
        <f>SUM(K35:K36)</f>
        <v>-100.98970004336019</v>
      </c>
      <c r="L37" s="37" t="s">
        <v>6</v>
      </c>
    </row>
    <row r="38" spans="1:12" x14ac:dyDescent="0.3">
      <c r="F38" s="36" t="s">
        <v>23</v>
      </c>
      <c r="G38" s="17">
        <f>C31</f>
        <v>23.000000999999997</v>
      </c>
      <c r="H38" s="37" t="s">
        <v>7</v>
      </c>
      <c r="J38" s="36"/>
      <c r="L38" s="37"/>
    </row>
    <row r="39" spans="1:12" x14ac:dyDescent="0.3">
      <c r="A39" s="3"/>
      <c r="F39" s="36"/>
      <c r="H39" s="37"/>
      <c r="J39" s="38" t="s">
        <v>47</v>
      </c>
      <c r="K39" s="29">
        <f>K7</f>
        <v>-109.01029995663981</v>
      </c>
      <c r="L39" s="39" t="s">
        <v>6</v>
      </c>
    </row>
    <row r="40" spans="1:12" x14ac:dyDescent="0.3">
      <c r="F40" s="54" t="s">
        <v>22</v>
      </c>
      <c r="G40" s="23">
        <f>G38+G36+G35</f>
        <v>19.989701043360185</v>
      </c>
      <c r="H40" s="55" t="s">
        <v>7</v>
      </c>
      <c r="J40" s="36" t="s">
        <v>46</v>
      </c>
      <c r="K40" s="17">
        <f>10*LOG(10^(K37/10)+10^(K39/10))</f>
        <v>-100.3535921491673</v>
      </c>
      <c r="L40" s="37" t="s">
        <v>6</v>
      </c>
    </row>
    <row r="41" spans="1:12" x14ac:dyDescent="0.3">
      <c r="F41" s="36"/>
      <c r="H41" s="37"/>
      <c r="J41" s="36"/>
      <c r="L41" s="37"/>
    </row>
    <row r="42" spans="1:12" x14ac:dyDescent="0.3">
      <c r="F42" s="36"/>
      <c r="H42" s="37"/>
      <c r="J42" s="40" t="s">
        <v>48</v>
      </c>
      <c r="K42" s="32">
        <f>K40-K37</f>
        <v>0.63610789419288949</v>
      </c>
      <c r="L42" s="41" t="s">
        <v>7</v>
      </c>
    </row>
    <row r="43" spans="1:12" ht="15" thickBot="1" x14ac:dyDescent="0.35">
      <c r="F43" s="42"/>
      <c r="G43" s="43"/>
      <c r="H43" s="44"/>
      <c r="J43" s="42"/>
      <c r="K43" s="43"/>
      <c r="L43" s="44"/>
    </row>
  </sheetData>
  <mergeCells count="3">
    <mergeCell ref="B3:D3"/>
    <mergeCell ref="F3:H3"/>
    <mergeCell ref="J3:L3"/>
  </mergeCells>
  <pageMargins left="0.7" right="0.7" top="0.75" bottom="0.75" header="0.3" footer="0.3"/>
  <pageSetup orientation="portrait" horizontalDpi="0" verticalDpi="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27D6A-4946-40EC-A68C-767E0710A5B5}">
  <dimension ref="A1:E15"/>
  <sheetViews>
    <sheetView workbookViewId="0">
      <selection activeCell="E8" sqref="E8"/>
    </sheetView>
  </sheetViews>
  <sheetFormatPr defaultColWidth="9.109375" defaultRowHeight="14.4" x14ac:dyDescent="0.3"/>
  <cols>
    <col min="1" max="2" width="11.5546875" style="9" customWidth="1"/>
    <col min="3" max="3" width="34.44140625" style="57" customWidth="1"/>
    <col min="4" max="5" width="14.44140625" style="9" customWidth="1"/>
    <col min="6" max="16384" width="9.109375" style="9"/>
  </cols>
  <sheetData>
    <row r="1" spans="1:5" ht="21" x14ac:dyDescent="0.3">
      <c r="A1" s="99" t="s">
        <v>151</v>
      </c>
    </row>
    <row r="3" spans="1:5" x14ac:dyDescent="0.3">
      <c r="A3" s="104" t="s">
        <v>152</v>
      </c>
      <c r="B3" s="104" t="s">
        <v>153</v>
      </c>
      <c r="C3" s="101" t="s">
        <v>154</v>
      </c>
      <c r="D3" s="100" t="s">
        <v>155</v>
      </c>
      <c r="E3" s="100" t="s">
        <v>156</v>
      </c>
    </row>
    <row r="4" spans="1:5" ht="57.6" x14ac:dyDescent="0.3">
      <c r="A4" s="105">
        <v>45863</v>
      </c>
      <c r="B4" s="106">
        <v>1.2</v>
      </c>
      <c r="C4" s="103" t="s">
        <v>159</v>
      </c>
      <c r="D4" s="102" t="s">
        <v>157</v>
      </c>
      <c r="E4" s="102" t="s">
        <v>158</v>
      </c>
    </row>
    <row r="5" spans="1:5" ht="72" x14ac:dyDescent="0.3">
      <c r="A5" s="105">
        <v>45867</v>
      </c>
      <c r="B5" s="106">
        <v>1.3</v>
      </c>
      <c r="C5" s="103" t="s">
        <v>181</v>
      </c>
      <c r="D5" s="102" t="s">
        <v>157</v>
      </c>
      <c r="E5" s="102"/>
    </row>
    <row r="6" spans="1:5" ht="28.8" x14ac:dyDescent="0.3">
      <c r="A6" s="105">
        <v>45867</v>
      </c>
      <c r="B6" s="106">
        <v>1.4</v>
      </c>
      <c r="C6" s="103" t="s">
        <v>182</v>
      </c>
      <c r="D6" s="102" t="s">
        <v>157</v>
      </c>
      <c r="E6" s="102"/>
    </row>
    <row r="7" spans="1:5" x14ac:dyDescent="0.3">
      <c r="A7" s="105">
        <v>45888</v>
      </c>
      <c r="B7" s="106">
        <v>1.5</v>
      </c>
      <c r="C7" s="103" t="s">
        <v>195</v>
      </c>
      <c r="D7" s="102" t="s">
        <v>157</v>
      </c>
      <c r="E7" s="102" t="s">
        <v>158</v>
      </c>
    </row>
    <row r="8" spans="1:5" ht="72" x14ac:dyDescent="0.3">
      <c r="A8" s="105">
        <v>45904</v>
      </c>
      <c r="B8" s="106">
        <v>1.6</v>
      </c>
      <c r="C8" s="130" t="s">
        <v>196</v>
      </c>
      <c r="D8" s="102" t="s">
        <v>157</v>
      </c>
      <c r="E8" s="102" t="s">
        <v>197</v>
      </c>
    </row>
    <row r="9" spans="1:5" x14ac:dyDescent="0.3">
      <c r="A9" s="73"/>
      <c r="B9" s="73"/>
    </row>
    <row r="10" spans="1:5" x14ac:dyDescent="0.3">
      <c r="A10" s="73"/>
      <c r="B10" s="73"/>
    </row>
    <row r="11" spans="1:5" x14ac:dyDescent="0.3">
      <c r="A11" s="73"/>
      <c r="B11" s="73"/>
    </row>
    <row r="12" spans="1:5" x14ac:dyDescent="0.3">
      <c r="A12" s="73"/>
      <c r="B12" s="73"/>
    </row>
    <row r="13" spans="1:5" x14ac:dyDescent="0.3">
      <c r="A13" s="73"/>
      <c r="B13" s="73"/>
    </row>
    <row r="14" spans="1:5" x14ac:dyDescent="0.3">
      <c r="A14" s="73"/>
      <c r="B14" s="73"/>
    </row>
    <row r="15" spans="1:5" x14ac:dyDescent="0.3">
      <c r="A15" s="73"/>
      <c r="B15" s="7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EXPECTATIONS</vt:lpstr>
      <vt:lpstr>COMMISSIONING</vt:lpstr>
      <vt:lpstr>Bellus 1900</vt:lpstr>
      <vt:lpstr>Bellus 2100</vt:lpstr>
      <vt:lpstr>Bellus 2600</vt:lpstr>
      <vt:lpstr>Rogers 1900</vt:lpstr>
      <vt:lpstr>Rogers 2100</vt:lpstr>
      <vt:lpstr>Rogers 2600</vt:lpstr>
      <vt:lpstr>Revisions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Willson</dc:creator>
  <cp:lastModifiedBy>Arjun K C</cp:lastModifiedBy>
  <dcterms:created xsi:type="dcterms:W3CDTF">2025-05-27T19:31:04Z</dcterms:created>
  <dcterms:modified xsi:type="dcterms:W3CDTF">2025-12-15T01:00:25Z</dcterms:modified>
</cp:coreProperties>
</file>